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29.xml" ContentType="application/vnd.openxmlformats-officedocument.spreadsheetml.worksheet+xml"/>
  <Override PartName="/xl/worksheets/sheet28.xml" ContentType="application/vnd.openxmlformats-officedocument.spreadsheetml.worksheet+xml"/>
  <Override PartName="/xl/worksheets/sheet27.xml" ContentType="application/vnd.openxmlformats-officedocument.spreadsheetml.worksheet+xml"/>
  <Override PartName="/xl/worksheets/sheet26.xml" ContentType="application/vnd.openxmlformats-officedocument.spreadsheetml.worksheet+xml"/>
  <Override PartName="/xl/worksheets/sheet25.xml" ContentType="application/vnd.openxmlformats-officedocument.spreadsheetml.worksheet+xml"/>
  <Override PartName="/xl/worksheets/sheet23.xml" ContentType="application/vnd.openxmlformats-officedocument.spreadsheetml.worksheet+xml"/>
  <Override PartName="/xl/worksheets/sheet9.xml" ContentType="application/vnd.openxmlformats-officedocument.spreadsheetml.worksheet+xml"/>
  <Override PartName="/xl/worksheets/sheet17.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37.xml" ContentType="application/vnd.openxmlformats-officedocument.spreadsheetml.worksheet+xml"/>
  <Override PartName="/xl/worksheets/sheet11.xml" ContentType="application/vnd.openxmlformats-officedocument.spreadsheetml.worksheet+xml"/>
  <Override PartName="/xl/worksheets/sheet33.xml" ContentType="application/vnd.openxmlformats-officedocument.spreadsheetml.worksheet+xml"/>
  <Override PartName="/xl/worksheets/sheet22.xml" ContentType="application/vnd.openxmlformats-officedocument.spreadsheetml.worksheet+xml"/>
  <Override PartName="/xl/worksheets/sheet14.xml" ContentType="application/vnd.openxmlformats-officedocument.spreadsheetml.worksheet+xml"/>
  <Override PartName="/xl/worksheets/sheet24.xml" ContentType="application/vnd.openxmlformats-officedocument.spreadsheetml.worksheet+xml"/>
  <Override PartName="/xl/worksheets/sheet36.xml" ContentType="application/vnd.openxmlformats-officedocument.spreadsheetml.worksheet+xml"/>
  <Override PartName="/xl/worksheets/sheet30.xml" ContentType="application/vnd.openxmlformats-officedocument.spreadsheetml.worksheet+xml"/>
  <Override PartName="/xl/worksheets/sheet8.xml" ContentType="application/vnd.openxmlformats-officedocument.spreadsheetml.worksheet+xml"/>
  <Override PartName="/xl/worksheets/sheet20.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5.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8.xml" ContentType="application/vnd.openxmlformats-officedocument.spreadsheetml.worksheet+xml"/>
  <Override PartName="/xl/worksheets/sheet15.xml" ContentType="application/vnd.openxmlformats-officedocument.spreadsheetml.worksheet+xml"/>
  <Override PartName="/xl/worksheets/sheet19.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2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3.xml" ContentType="application/vnd.ms-office.chartcolorstyle+xml"/>
  <Override PartName="/xl/charts/chart7.xml" ContentType="application/vnd.openxmlformats-officedocument.drawingml.chart+xml"/>
  <Override PartName="/xl/charts/style9.xml" ContentType="application/vnd.ms-office.chartstyle+xml"/>
  <Override PartName="/xl/charts/chart3.xml" ContentType="application/vnd.openxmlformats-officedocument.drawingml.chart+xml"/>
  <Override PartName="/xl/charts/style2.xml" ContentType="application/vnd.ms-office.chartstyle+xml"/>
  <Override PartName="/xl/charts/chart6.xml" ContentType="application/vnd.openxmlformats-officedocument.drawingml.chart+xml"/>
  <Override PartName="/xl/charts/style3.xml" ContentType="application/vnd.ms-office.chartstyle+xml"/>
  <Override PartName="/xl/charts/colors1.xml" ContentType="application/vnd.ms-office.chartcolorstyle+xml"/>
  <Override PartName="/xl/charts/colors9.xml" ContentType="application/vnd.ms-office.chartcolorstyle+xml"/>
  <Override PartName="/xl/charts/chart9.xml" ContentType="application/vnd.openxmlformats-officedocument.drawingml.chart+xml"/>
  <Override PartName="/xl/charts/chart4.xml" ContentType="application/vnd.openxmlformats-officedocument.drawingml.chart+xml"/>
  <Override PartName="/xl/charts/colors8.xml" ContentType="application/vnd.ms-office.chartcolorstyle+xml"/>
  <Override PartName="/xl/charts/colors5.xml" ContentType="application/vnd.ms-office.chartcolorstyle+xml"/>
  <Override PartName="/xl/charts/style7.xml" ContentType="application/vnd.ms-office.chartstyle+xml"/>
  <Override PartName="/xl/charts/style6.xml" ContentType="application/vnd.ms-office.chartstyle+xml"/>
  <Override PartName="/xl/charts/style1.xml" ContentType="application/vnd.ms-office.chartstyle+xml"/>
  <Override PartName="/xl/charts/chart1.xml" ContentType="application/vnd.openxmlformats-officedocument.drawingml.chart+xml"/>
  <Override PartName="/xl/charts/colors6.xml" ContentType="application/vnd.ms-office.chartcolorstyle+xml"/>
  <Override PartName="/xl/charts/style5.xml" ContentType="application/vnd.ms-office.chartstyle+xml"/>
  <Override PartName="/xl/charts/colors2.xml" ContentType="application/vnd.ms-office.chartcolorstyle+xml"/>
  <Override PartName="/xl/charts/style8.xml" ContentType="application/vnd.ms-office.chartstyle+xml"/>
  <Override PartName="/xl/charts/colors4.xml" ContentType="application/vnd.ms-office.chartcolorstyle+xml"/>
  <Override PartName="/xl/charts/chart8.xml" ContentType="application/vnd.openxmlformats-officedocument.drawingml.chart+xml"/>
  <Override PartName="/xl/charts/colors7.xml" ContentType="application/vnd.ms-office.chartcolorstyle+xml"/>
  <Override PartName="/xl/charts/chart2.xml" ContentType="application/vnd.openxmlformats-officedocument.drawingml.chart+xml"/>
  <Override PartName="/xl/tables/table4.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4"/>
  </bookViews>
  <sheets>
    <sheet name="Dashboard" sheetId="1" state="visible" r:id="rId3"/>
    <sheet name="Lists" sheetId="2" state="visible" r:id="rId4"/>
    <sheet name="Evaluation_Audit" sheetId="3" state="visible" r:id="rId5"/>
    <sheet name="Scientific_Audit" sheetId="4" state="visible" r:id="rId6"/>
    <sheet name="SLR_Extraction" sheetId="5" state="visible" r:id="rId7"/>
    <sheet name="Master_Papers" sheetId="6" state="visible" r:id="rId8"/>
    <sheet name="Technical_Classification" sheetId="7" state="visible" r:id="rId9"/>
    <sheet name="Experimental_Methodology" sheetId="8" state="visible" r:id="rId10"/>
    <sheet name="Network_Characteristics" sheetId="9" state="visible" r:id="rId11"/>
    <sheet name="Performance_Metrics" sheetId="10" state="visible" r:id="rId12"/>
    <sheet name="Scientific_Contribution" sheetId="11" state="visible" r:id="rId13"/>
    <sheet name="Quality_Assessment" sheetId="12" state="visible" r:id="rId14"/>
    <sheet name="Research_Questions" sheetId="13" state="visible" r:id="rId15"/>
    <sheet name="Figures_Data" sheetId="14" state="visible" r:id="rId16"/>
    <sheet name="Gold_Standard_Register" sheetId="15" state="visible" r:id="rId17"/>
    <sheet name="Topic_Matrix_V3" sheetId="16" state="visible" r:id="rId18"/>
    <sheet name="Methods_Platforms_V3" sheetId="17" state="visible" r:id="rId19"/>
    <sheet name="KPI_Matrix_V3" sheetId="18" state="visible" r:id="rId20"/>
    <sheet name="Applications_V3" sheetId="19" state="visible" r:id="rId21"/>
    <sheet name="Evidence_Traceability" sheetId="20" state="visible" r:id="rId22"/>
    <sheet name="Inclusion_Exclusion" sheetId="21" state="visible" r:id="rId23"/>
    <sheet name="Coding_Manual" sheetId="22" state="visible" r:id="rId24"/>
    <sheet name="Figures_Data_V3" sheetId="23" state="visible" r:id="rId25"/>
    <sheet name="Evaluation_Matrix_V4" sheetId="24" state="visible" r:id="rId26"/>
    <sheet name="Figures_Data_V4" sheetId="25" state="visible" r:id="rId27"/>
    <sheet name="Publication_Tables_V4" sheetId="26" state="visible" r:id="rId28"/>
    <sheet name="Final_Topic_Matrix" sheetId="27" state="visible" r:id="rId29"/>
    <sheet name="Final_Results_Data" sheetId="28" state="visible" r:id="rId30"/>
    <sheet name="Final_Verification_Log" sheetId="29" state="visible" r:id="rId31"/>
    <sheet name="Cross_Sheet_Consistency" sheetId="30" state="visible" r:id="rId32"/>
    <sheet name="Workbook_Guide" sheetId="31" state="visible" r:id="rId33"/>
    <sheet name="Results_Data_V5" sheetId="32" state="visible" r:id="rId34"/>
    <sheet name="Dashboard_V5" sheetId="33" state="visible" r:id="rId35"/>
    <sheet name="Statistics_V5" sheetId="34" state="visible" r:id="rId36"/>
    <sheet name="Primary_Category_V5" sheetId="35" state="visible" r:id="rId37"/>
    <sheet name="Final_Audit_V6" sheetId="36" state="visible" r:id="rId38"/>
    <sheet name="Chart_Audit_V6" sheetId="37" state="visible" r:id="rId39"/>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<sst xmlns="http://schemas.openxmlformats.org/spreadsheetml/2006/main" count="11068" uniqueCount="2032">
  <si>
    <t xml:space="preserve">SUPERSEDED — Use Dashboard_V5 and Results_Data_V5 for the final manuscript.</t>
  </si>
  <si>
    <t xml:space="preserve">Created</t>
  </si>
  <si>
    <t xml:space="preserve">2026-07-09 13:10</t>
  </si>
  <si>
    <t xml:space="preserve">Total summaries parsed</t>
  </si>
  <si>
    <t xml:space="preserve">Output purpose</t>
  </si>
  <si>
    <t xml:space="preserve">Structured table for screening, taxonomy, gaps, and manual refinement</t>
  </si>
  <si>
    <t xml:space="preserve">Include Status</t>
  </si>
  <si>
    <t xml:space="preserve">Count</t>
  </si>
  <si>
    <t xml:space="preserve">Yes</t>
  </si>
  <si>
    <t xml:space="preserve">Research Category</t>
  </si>
  <si>
    <t xml:space="preserve">PHY</t>
  </si>
  <si>
    <t xml:space="preserve">Routing/Mesh</t>
  </si>
  <si>
    <t xml:space="preserve">MAC</t>
  </si>
  <si>
    <t xml:space="preserve">Modeling/Analytical</t>
  </si>
  <si>
    <t xml:space="preserve">Industrial/Testbed/Application</t>
  </si>
  <si>
    <t xml:space="preserve">Positioning/Localization</t>
  </si>
  <si>
    <t xml:space="preserve">Security/Multi-RAT</t>
  </si>
  <si>
    <t xml:space="preserve">Scheduling/Resource Allocation</t>
  </si>
  <si>
    <t xml:space="preserve">Verified Evaluation Type</t>
  </si>
  <si>
    <t xml:space="preserve">Analytical/Modeling</t>
  </si>
  <si>
    <t xml:space="preserve">Simulation</t>
  </si>
  <si>
    <t xml:space="preserve">Survey/Overview</t>
  </si>
  <si>
    <t xml:space="preserve">Experimental/Testbed</t>
  </si>
  <si>
    <t xml:space="preserve">Evaluation audit</t>
  </si>
  <si>
    <t xml:space="preserve">Result</t>
  </si>
  <si>
    <t xml:space="preserve">Rows reviewed</t>
  </si>
  <si>
    <t xml:space="preserve">Evaluation labels changed</t>
  </si>
  <si>
    <t xml:space="preserve">Important note</t>
  </si>
  <si>
    <t xml:space="preserve">Experimental/Testbed is used only for real hardware, measured deployments, prototypes, field trials, or over-the-air tests.</t>
  </si>
  <si>
    <t xml:space="preserve">Scientific content audit</t>
  </si>
  <si>
    <t xml:space="preserve">Completed</t>
  </si>
  <si>
    <t xml:space="preserve">Fields corrected</t>
  </si>
  <si>
    <t xml:space="preserve">Key Findings; Contribution / Implications; Limitations; Research Gap</t>
  </si>
  <si>
    <t xml:space="preserve">New field added</t>
  </si>
  <si>
    <t xml:space="preserve">Future Work</t>
  </si>
  <si>
    <t xml:space="preserve">Duplicate flagged</t>
  </si>
  <si>
    <t xml:space="preserve">ID 10 duplicates ID 9</t>
  </si>
  <si>
    <t xml:space="preserve">Include Options</t>
  </si>
  <si>
    <t xml:space="preserve">No</t>
  </si>
  <si>
    <t xml:space="preserve">Maybe</t>
  </si>
  <si>
    <t xml:space="preserve">Evaluation Types</t>
  </si>
  <si>
    <t xml:space="preserve">Research Categories</t>
  </si>
  <si>
    <t xml:space="preserve">ID</t>
  </si>
  <si>
    <t xml:space="preserve">Paper/File</t>
  </si>
  <si>
    <t xml:space="preserve">Original Evaluation Type</t>
  </si>
  <si>
    <t xml:space="preserve">Changed?</t>
  </si>
  <si>
    <t xml:space="preserve">Evidence from Summary</t>
  </si>
  <si>
    <t xml:space="preserve">Review Confidence</t>
  </si>
  <si>
    <t xml:space="preserve">Audit Note</t>
  </si>
  <si>
    <t xml:space="preserve">Ahmad et al. - 2024 - MAC Protocol for Reducing Outage Probability in DECT-2020 New Radio</t>
  </si>
  <si>
    <t xml:space="preserve">Simulation; Survey/Overview</t>
  </si>
  <si>
    <t xml:space="preserve">The paper explicitly states that effectiveness is demonstrated through event-based simulations.</t>
  </si>
  <si>
    <t xml:space="preserve">High</t>
  </si>
  <si>
    <t xml:space="preserve">Ahmad et al. - 2025 - MAC-Layer Protocol for Ultra-Reliable Multi-Hop Communication in DECT-2020 NR IIoT Networks</t>
  </si>
  <si>
    <t xml:space="preserve">Simulation; Experimental/Testbed; Survey/Overview</t>
  </si>
  <si>
    <t xml:space="preserve">The abstract explicitly reports event-based simulations; no hardware implementation or testbed is described.</t>
  </si>
  <si>
    <t xml:space="preserve">Alam et al. - 2026 - DL Routing Performance in DECT-2020 NR Massive Mesh Networks</t>
  </si>
  <si>
    <t xml:space="preserve">The study explicitly presents comprehensive simulations of a 1,200-node, 10-hop mesh.</t>
  </si>
  <si>
    <t xml:space="preserve">Asif et al. - 2025 - URLLC-Based Multi-Hop Communication Using DECT-2020 NR</t>
  </si>
  <si>
    <t xml:space="preserve">Simulation; Analytical/Modeling; Survey/Overview</t>
  </si>
  <si>
    <t xml:space="preserve">The work formulates an optimization problem and graph-theory solution; the summary does not report a physical testbed.</t>
  </si>
  <si>
    <t xml:space="preserve">Medium</t>
  </si>
  <si>
    <t xml:space="preserve">Atiq et al. - 2022 - When IEEE 802.11 and 5G Meet Time-Sensitive Networking</t>
  </si>
  <si>
    <t xml:space="preserve">Experimental/Testbed; Survey/Overview</t>
  </si>
  <si>
    <t xml:space="preserve">The paper comprehensively analyzes standardization efforts and use cases; no original simulation or experiment is reported.</t>
  </si>
  <si>
    <t xml:space="preserve">Also verify SLR inclusion because the paper may not primarily focus on DECT-2020 NR.</t>
  </si>
  <si>
    <t xml:space="preserve">Baheti and Khunteta - 2026 - Priority-aware Radio Resource Scheduling for mMTC in 5G Networks -- Balancing Efficiency and Fairnes</t>
  </si>
  <si>
    <t xml:space="preserve">Simulation; Analytical/Modeling</t>
  </si>
  <si>
    <t xml:space="preserve">A binary-integer optimization scheduler is evaluated through simulation results.</t>
  </si>
  <si>
    <t xml:space="preserve">Bandara - 2025 - Experimental validation and analysis of the performance of DECT NR+ radio access technology</t>
  </si>
  <si>
    <t xml:space="preserve">Experimental/Testbed; Analytical/Modeling</t>
  </si>
  <si>
    <t xml:space="preserve">A real testbed uses Nordic nRF9161 development kits, custom firmware, and physical range/throughput/latency/energy measurements.</t>
  </si>
  <si>
    <t xml:space="preserve">Bin Asif et al. - 2025 - IRS-Assisted DECT-2020 NR Framework for Ensuring URLLC Constraints in Industrial IoT</t>
  </si>
  <si>
    <t xml:space="preserve">The work develops a 3D system model, SAT-based shadow detection, and comparative numerical analysis; no physical testbed is stated.</t>
  </si>
  <si>
    <t xml:space="preserve">Biswas et al. - 2024 - Reliable and Low-Latency Communications for Critical Infrastructures Utilizing Wireless Mesh Network</t>
  </si>
  <si>
    <t xml:space="preserve">Reliability and latency are explicitly studied using simulations based on DECT-2020 NR.</t>
  </si>
  <si>
    <t xml:space="preserve">Potential duplicate record: singular/plural filename versions appear to describe the same paper.</t>
  </si>
  <si>
    <t xml:space="preserve">Biswas et al. - 2024 - Reliable and Low-Latency Communications for Critical Infrastructures Utilizing Wireless Mesh Networks</t>
  </si>
  <si>
    <t xml:space="preserve">Same study as ID 9; explicitly simulation-based.</t>
  </si>
  <si>
    <t xml:space="preserve">Dang et al. - 2025 - EWDC Integrating DECT-2020 With Wi-Fi for Enhanced Wireless Direct Connectivity</t>
  </si>
  <si>
    <t xml:space="preserve">Experimental/Testbed; Analytical/Modeling; Survey/Overview</t>
  </si>
  <si>
    <t xml:space="preserve">The DECT MAC layer is implemented on Nordic nRF9161-DK hardware and delay is measured between two devices.</t>
  </si>
  <si>
    <t xml:space="preserve">Dang et al. - 2026 - Uni-RAT A Unified DECT-2020 NR and Wi-Fi System for 6G Multi-RAT Networks</t>
  </si>
  <si>
    <t xml:space="preserve">A full prototype is implemented using nRF9161 devices, Raspberry Pi nodes, and a 5G core; results are experimental.</t>
  </si>
  <si>
    <t xml:space="preserve">Dhanwani et al. - 2020 - Assessment of Candidate Technology ETSI DECT-2020 New Radio</t>
  </si>
  <si>
    <t xml:space="preserve">The paper evaluates submitted performance values using ITU-R methodology and analytical calculations; no testbed is reported.</t>
  </si>
  <si>
    <t xml:space="preserve">Dürre and Werner - 2024 - DECT-2020 NR for Professional Live Audio Design Space Exploration and Practical Evaluation</t>
  </si>
  <si>
    <t xml:space="preserve">The paper uses nRF91 modems and reports practical latency measurements from a measurement setup.</t>
  </si>
  <si>
    <t xml:space="preserve">Fagerholm - 2024 - FPGA-based DECT-2020 New Radio packet detection</t>
  </si>
  <si>
    <t xml:space="preserve">Simulation; Experimental/Testbed</t>
  </si>
  <si>
    <t xml:space="preserve">The FPGA design is evaluated in a MATLAB/Icarus Verilog simulation environment; real-world data are inputs, not a hardware testbed validation.</t>
  </si>
  <si>
    <t xml:space="preserve">Real-world data were used as simulation inputs; this is not counted as a real hardware/testbed evaluation.</t>
  </si>
  <si>
    <t xml:space="preserve">Fedrecheski et al. - 2026 - Mari Responsive Wireless Communication for Low-Power Large-Scale Robot Swarms</t>
  </si>
  <si>
    <t xml:space="preserve">The work includes large-scale real-hardware testbeds and also simulates flocking behavior.</t>
  </si>
  <si>
    <t xml:space="preserve">Führling et al. - 2025 - A Robust Routing Protocol for 5G Mesh Networks</t>
  </si>
  <si>
    <t xml:space="preserve">Matrix-completion and localization models are evaluated with simulation scenarios.</t>
  </si>
  <si>
    <t xml:space="preserve">Gaidamaka et al. - 2025 - Optimizing Delays in Random Access Procedure of DECT-2020 by Estimation of Device States</t>
  </si>
  <si>
    <t xml:space="preserve">The study develops mathematical/HMM models and reports numerical results.</t>
  </si>
  <si>
    <t xml:space="preserve">Glazkov et al. - 2025 - Improving Near-URLLC Services Performance Over Multi-Hop Topologies in DECT-2020 NR Systems</t>
  </si>
  <si>
    <t xml:space="preserve">The summary explicitly describes a detailed system-level simulation campaign.</t>
  </si>
  <si>
    <t xml:space="preserve">Graf et al. - 2026 - A Pareto Optimality Approach for Link Adaptation in DECT NR+</t>
  </si>
  <si>
    <t xml:space="preserve">The paper combines theoretical/Pareto analysis with experiments in two real-world testbeds using Nordic nRF91 hardware.</t>
  </si>
  <si>
    <t xml:space="preserve">Graf et al. - 2026 - What to Expect When Using DECT NR+</t>
  </si>
  <si>
    <t xml:space="preserve">The article surveys products and PHY principles, then performs hands-on power and range measurements with nRF91 hardware.</t>
  </si>
  <si>
    <t xml:space="preserve">Haque et al. - 2025 - DECT-2020 NR Link Distance Performance in Varying Environments Models and Measurements</t>
  </si>
  <si>
    <t xml:space="preserve">The work performs real indoor/outdoor measurements and compares them with analytical propagation models.</t>
  </si>
  <si>
    <t xml:space="preserve">Jahangir - 2024 - Analysis of the performance of DECT NR+ radio access technology for the connectivity of unmanned aer</t>
  </si>
  <si>
    <t xml:space="preserve">The thesis identifies configurations by simulating frequencies and modulation schemes and uses link-budget analysis.</t>
  </si>
  <si>
    <t xml:space="preserve">Khalili et al. - Bridging Light and Radio Hybrid Network Architectures for IoT in the 6G Era</t>
  </si>
  <si>
    <t xml:space="preserve">Analytical/Modeling; Survey/Overview</t>
  </si>
  <si>
    <t xml:space="preserve">The paper proposes an architecture and coverage-equivalence analysis; it is conceptual/analytical rather than testbed-based.</t>
  </si>
  <si>
    <t xml:space="preserve">Kizilirmak and Askarov - 2024 - Examination of PHY Layer Features in DECT-2020 and LTE-M Networks</t>
  </si>
  <si>
    <t xml:space="preserve">The work is a comparative PHY analysis with BER and spectral-efficiency calculations; no physical experiment is described in the summary.</t>
  </si>
  <si>
    <t xml:space="preserve">Kovalchukov et al. - 2022 - DECT-2020 New Radio The Next Step toward 5G Massive Machine-Type Communications</t>
  </si>
  <si>
    <t xml:space="preserve">The article provides a technology overview and evaluates performance through system-level analysis/simulation.</t>
  </si>
  <si>
    <t xml:space="preserve">Leugner and Hellbrueck - 2025 - An Alternative to SubGHz for LPWAN</t>
  </si>
  <si>
    <t xml:space="preserve">Simulation; Experimental/Testbed; Analytical/Modeling</t>
  </si>
  <si>
    <t xml:space="preserve">The paper explicitly combines path-loss modeling with experimental indoor and outdoor evaluations.</t>
  </si>
  <si>
    <t xml:space="preserve">Liao et al. - 2025 - Data Assisted Backscatter Communications Using DECT-2020 NR+ as Ambient Signal</t>
  </si>
  <si>
    <t xml:space="preserve">Over-the-air SDR experiments are explicitly reported, with measured BER.</t>
  </si>
  <si>
    <t xml:space="preserve">Liu et al. - 2025 - Data-Aided Channel Estimation for Robust DECT-2020 NR+ Links in Oil and Gas Equipment Data Communica</t>
  </si>
  <si>
    <t xml:space="preserve">The work explicitly combines MATLAB simulations with laboratory validation on a DECT development board.</t>
  </si>
  <si>
    <t xml:space="preserve">Llaguno et al. - 2024 - Physical Layer Performance of DECT-2020 New Radio for Factory Automation</t>
  </si>
  <si>
    <t xml:space="preserve">The paper states that propagation conditions and system configurations are simulated.</t>
  </si>
  <si>
    <t xml:space="preserve">Maliatsos et al. - 2022 - Evaluation of the IMT-2020 Candidate Radio Interface Technology DECT-2020 NR</t>
  </si>
  <si>
    <t xml:space="preserve">The WWRF assessment uses inspection, analysis, and an in-house simulation tool, while also providing an overview.</t>
  </si>
  <si>
    <t xml:space="preserve">Montalvo et al. - 2024 - DECT Evolution towards Meeting the Requirements for IMT-2020 in the Residential Environment</t>
  </si>
  <si>
    <t xml:space="preserve">The paper develops an energy model and provides an overview/comparative discussion of DECT evolution.</t>
  </si>
  <si>
    <t xml:space="preserve">Morozova et al. - 2026 - Comparison of Two Models with Non-ordinary Arrival Process to Analyze the Cluster of the DECT-2020 N</t>
  </si>
  <si>
    <t xml:space="preserve">The study uses discrete-time queueing models and derives analytical PAoI expressions.</t>
  </si>
  <si>
    <t xml:space="preserve">Mudriievskyi et al. - 2024 - CHEAP 5G DECT NR+ for Tactile Internet With Human In The Loop Application</t>
  </si>
  <si>
    <t xml:space="preserve">The study reports a DECT NR+ testbed and measured latency/data rate.</t>
  </si>
  <si>
    <t xml:space="preserve">Ngo - 2025 - IoT device authentication in 5G networks</t>
  </si>
  <si>
    <t xml:space="preserve">The thesis implements and evaluates an authentication solution on a practical platform according to the summary.</t>
  </si>
  <si>
    <t xml:space="preserve">Nihtila and Berg - 2022 - Energy Consumption of DECT-2020 NR Mesh Networks</t>
  </si>
  <si>
    <t xml:space="preserve">The work is a system-level simulation analysis of energy consumption.</t>
  </si>
  <si>
    <t xml:space="preserve">Nihtila and Taipale - 2022 - Energy Saving Router Rotation Protocol for DECT-2020 NR</t>
  </si>
  <si>
    <t xml:space="preserve">The router-rotation protocol is evaluated through system-level simulation.</t>
  </si>
  <si>
    <t xml:space="preserve">Nikolaev et al. - 2026 - Modeling DECT-2020 as a Tandem Queueing System and Its Application to the Peak Age of Information An</t>
  </si>
  <si>
    <t xml:space="preserve">The article develops a tandem queueing model and analytical PAoI results.</t>
  </si>
  <si>
    <t xml:space="preserve">Penner et al. - 2021 - Link-Level Performance Evaluation of IMT-2020 Candidate Technology DECT-2020 New Radio</t>
  </si>
  <si>
    <t xml:space="preserve">The link-level work uses simulation and analytical performance evaluation.</t>
  </si>
  <si>
    <t xml:space="preserve">Penner et al. - 2021 - URLLC Performance Evaluation of IMT-2020 Candidate Technology DECT-2020 New Radio</t>
  </si>
  <si>
    <t xml:space="preserve">The URLLC study combines link-level and system-level simulations with analytical evaluation.</t>
  </si>
  <si>
    <t xml:space="preserve">Perez-Guirao et al. - 2022 - DECT NR+Unveiling the Essentials of a new non-cellular 5G Standard for Verticals</t>
  </si>
  <si>
    <t xml:space="preserve">The paper primarily introduces and explains the standard and vertical use cases; no original testbed is stated.</t>
  </si>
  <si>
    <t xml:space="preserve">Pires et al. - 2026 - DECT-2020 NR for Energy and Power Grid Substation QoS Monitoring Use Cases</t>
  </si>
  <si>
    <t xml:space="preserve">Two proof-of-concept deployments are evaluated with sensors, fragmentation, and multihop communication.</t>
  </si>
  <si>
    <t xml:space="preserve">Poets and WaÃ - 2024 - DECT NR+ A new radio standard to benefit professional audio applications</t>
  </si>
  <si>
    <t xml:space="preserve">The article presents requirements/design-space analysis and a technology overview; the summary does not establish a real measurement campaign.</t>
  </si>
  <si>
    <t xml:space="preserve">Experimental label removed because the supplied summary does not demonstrate an actual measurement campaign.</t>
  </si>
  <si>
    <t xml:space="preserve">Poets et al. - 2025 - Professional Networked Audio over DECT NR+ Feasibility and Performance</t>
  </si>
  <si>
    <t xml:space="preserve">The work experimentally evaluates professional networked audio over DECT NR+.</t>
  </si>
  <si>
    <t xml:space="preserve">Raftopoulou et al. - 2025 - Deployment and Performance Evaluation of 5G Private Networks, Enabling Use Cases in Rural Remote Are</t>
  </si>
  <si>
    <t xml:space="preserve">The evaluation is conducted through field trials in four real environments.</t>
  </si>
  <si>
    <t xml:space="preserve">Rauwolf et al. - 2026 - Topology-Aware Deep Reinforcement Learning for Multi-Hop URLLC in DECT-2020 NR Mesh Networks</t>
  </si>
  <si>
    <t xml:space="preserve">The DRL routing framework is modeled as an MDP and evaluated in simulations.</t>
  </si>
  <si>
    <t xml:space="preserve">Saikko et al. - 2024 - Positioning in DECT-2020 NR with Proactive Measurement Selection</t>
  </si>
  <si>
    <t xml:space="preserve">The positioning method is analytical and assessed through simulations; the summary does not show a physical hardware testbed.</t>
  </si>
  <si>
    <t xml:space="preserve">Saikko et al. - 2025 - Positioning and Tracking in DECT-2020 NR With Proactive Anchor Selection for Range, Angle, and RSS M</t>
  </si>
  <si>
    <t xml:space="preserve">The extended positioning work combines analytical modeling, simulations, and measurement-based/experimental validation.</t>
  </si>
  <si>
    <t xml:space="preserve">Samuylov et al. - 2023 - Performance Assessment of DECT-2020 NR and Classic DECT Coexistence Mechanisms</t>
  </si>
  <si>
    <t xml:space="preserve">The paper explicitly evaluates coexistence mechanisms using system-level simulation.</t>
  </si>
  <si>
    <t xml:space="preserve">Samuylov et al. - 2024 - Performance of MAC Layer Mechanisms in DECT-2020 NR mMTC Technology</t>
  </si>
  <si>
    <t xml:space="preserve">The study uses a system-level simulation tool and supporting analytical models.</t>
  </si>
  <si>
    <t xml:space="preserve">Samuylov et al. - 2025 - Empowering Near-URLLC IoT with 5G DECT-2020 NR Current State and the Road Ahead</t>
  </si>
  <si>
    <t xml:space="preserve">The article is a state-of-the-art/road-ahead overview supported by system-level simulations.</t>
  </si>
  <si>
    <t xml:space="preserve">Samuylov et al. - 2025 - Performance of DECT-2020 NR and FCC-Based Mesh IoT Systems in DECT Bands</t>
  </si>
  <si>
    <t xml:space="preserve">The paper compares DECT-2020 NR and FCC medium access using simulation results; no real testbed is stated.</t>
  </si>
  <si>
    <t xml:space="preserve">Singhwi et al. - 2021 - DECT-2020 New Radio System Level Assessment for Multi-Hop Assisted mMTC usage Scenario</t>
  </si>
  <si>
    <t xml:space="preserve">The proposed relay/channel-allocation approaches are compared using simulation.</t>
  </si>
  <si>
    <t xml:space="preserve">Smida et al. - 2023 - ETSIDECT-2020 Component RIT Technology Implementation and Evaluation Contributions in mMTC and URLL</t>
  </si>
  <si>
    <t xml:space="preserve">The candidate-technology evaluation is conducted through link- and system-level simulation and analytical interpretation.</t>
  </si>
  <si>
    <t xml:space="preserve">Soni et al. - 2021 - On Performance of multi-hop assisted mMTC for DECT-2020 New Radio System</t>
  </si>
  <si>
    <t xml:space="preserve">The multi-hop performance study presents analytical outage/BER analysis and simulation results.</t>
  </si>
  <si>
    <t xml:space="preserve">Soni et al. - 2023 - Link-Level Assessment of NOMA Aided Multi-hop DECT-2020 New Radio for mMTC Applications</t>
  </si>
  <si>
    <t xml:space="preserve">The NOMA multi-hop assessment combines analytical link-level analysis and simulations.</t>
  </si>
  <si>
    <t xml:space="preserve">Stiller et al. - 2024 - Wireless Communication (Short Range and Long Range incl. LPWAN)</t>
  </si>
  <si>
    <t xml:space="preserve">This is a handbook/chapter-style overview; the supplied summary contains no original evaluation evidence.</t>
  </si>
  <si>
    <t xml:space="preserve">Waßmann et al. - 2024 - Performance of DECT-2020 NR in an industrial environment for varying RF bands</t>
  </si>
  <si>
    <t xml:space="preserve">The paper includes simulated Rayleigh-channel comparison and real GNU Radio/USRP measurements on an industrial production line.</t>
  </si>
  <si>
    <t xml:space="preserve">Measurement-Driven Latency Analysis of Uplink/Downlink Scheduling in DECT-2020 NR</t>
  </si>
  <si>
    <t xml:space="preserve">The paper reports DSO-based GPIO timing measurements on two nRF9151 nodes, cross-validated with modem timing; no simulation is used.</t>
  </si>
  <si>
    <t xml:space="preserve">Presented conference paper; proceedings publication pending.</t>
  </si>
  <si>
    <t xml:space="preserve">Evaluation Type</t>
  </si>
  <si>
    <t xml:space="preserve">Key Findings Audited</t>
  </si>
  <si>
    <t xml:space="preserve">Contribution Audited</t>
  </si>
  <si>
    <t xml:space="preserve">Limitations Audited</t>
  </si>
  <si>
    <t xml:space="preserve">Research Gap Audited</t>
  </si>
  <si>
    <t xml:space="preserve">Future Work Added</t>
  </si>
  <si>
    <t xml:space="preserve">Detected Title</t>
  </si>
  <si>
    <t xml:space="preserve">Include?</t>
  </si>
  <si>
    <t xml:space="preserve">Problem / Motivation</t>
  </si>
  <si>
    <t xml:space="preserve">Approach / Methods</t>
  </si>
  <si>
    <t xml:space="preserve">Key Findings</t>
  </si>
  <si>
    <t xml:space="preserve">Contribution / Implications</t>
  </si>
  <si>
    <t xml:space="preserve">Limitations</t>
  </si>
  <si>
    <t xml:space="preserve">Research Gap</t>
  </si>
  <si>
    <t xml:space="preserve">Notes</t>
  </si>
  <si>
    <t xml:space="preserve">Source File</t>
  </si>
  <si>
    <t xml:space="preserve">Scientific Audit Status</t>
  </si>
  <si>
    <t xml:space="preserve">Seventeenth International Workshop on Selected Topics in Mobile and Wireless Computing - 2024</t>
  </si>
  <si>
    <t xml:space="preserve">PHY; MAC; Routing/Mesh; Modeling/Analytical</t>
  </si>
  <si>
    <t xml:space="preserve">—DECT-2020 New Radio (NR) is a Radio Interface Technology (RIT) recognized for fulfilling the requirements of IMT-2020 Ultra Reliable Low Latency Communications (URLLC) and massive Machine Type Communications (mMTC) application scenarios. A single DECT-2020 NR Radio Device (RD) in Fixed Termination (FT) mode announces the radio resources, while other RDs in Portable Termination (PT) mode directly connect to it. A single RD can also operate in both modes simultaneously as an FT/PT. In this research work, we consider the requirement of an ultra-reliable DECT-2020 NR private network with a limited number of RDs in a given Region Of Interest (ROI) and propose a Medium Access Control (MAC) protocol to reduce the outage probability by exploiting the FT/PT mode functionality of an RD. We utilize the Cluster and Network Beacon Messages periodically transmitted by the FT to prompt connected PTs to change to FT/PT mode and route the data for a specific RD positioned in an outage location, ensuring an outage rate of less than 1% in the ROI. Furthermore, we demonstrate the effectiveness of our proposed technique through event-based simulations.</t>
  </si>
  <si>
    <t xml:space="preserve">by exploiting the FT/PT mode functionality of an RD. We utilize the Cluster and Network Beacon Messages periodically transmitted by the FT to prompt connected PTs to change to FT/PT mode and route the data for a specific RD positioned in an outage location, ensuring an outage rate of less than 1% in the ROI. Furthermore, we demonstrate the effectiveness of our proposed technique through event-based simulations. Index Terms—URLLC, TDMA, DECT-2020, MAC, 5G, New Radio, coverage, outage rate. I. I NTRODUCTION The mobile communication industry undergoes a generation evolution almost every decade due to the escalating number of new applications day by day and their strict requirements. To facilitate this transition seamlessly, novel standards, technical specifications, and regulations are established by different organizations in a collaborative fashion [1]. To address Fifth Generation (5G) use cases encompassing URLLC, mMTC, and enhanced Mobile Broadband (eMBB), the International Telecommunication Union, Radio Communication Sector (ITUR) Working Party 5D (WP5D) has devised requirements for IMT-2020 [15]. By addressing one or more of these 5G use cases, Third Generation Partnership Project (3GPP) has developed technologies like 5G New Radio (NR), Narrowband Internet of Things (NB-IoT), and Long Term Evolution for Machines (LTE-M) that complement the requirements</t>
  </si>
  <si>
    <t xml:space="preserve">The proposed FT/PT-assisted relaying mechanism can reduce the simulated outage rate below 1% within the considered region of interest.</t>
  </si>
  <si>
    <t xml:space="preserve">Proposes a DECT-2020 NR MAC relaying procedure that switches selected radio devices to FT/PT mode and uses beacon signaling to restore service in outage regions; event-based simulations show an outage rate below 1%.</t>
  </si>
  <si>
    <t xml:space="preserve">Validated only through event-based simulation; assumptions on topology, mobility, interference, and relay-selection overhead limit direct generalization to deployments.</t>
  </si>
  <si>
    <t xml:space="preserve">Prior DECT-2020 NR procedures did not provide a targeted mechanism for restoring connectivity to isolated devices in small private networks.</t>
  </si>
  <si>
    <t xml:space="preserve">Evaluation verified: Simulation. The paper explicitly states that effectiveness is demonstrated through event-based simulations.</t>
  </si>
  <si>
    <t xml:space="preserve">Ahmad et al. - 2024 - MAC Protocol for Reducing Outage Probability in DECT-2020 New Radio.summary.pdf</t>
  </si>
  <si>
    <t xml:space="preserve">Implement and validate the procedure on real DECT NR+ hardware and study dynamic mobility, interference, energy cost, and larger network sizes.</t>
  </si>
  <si>
    <t xml:space="preserve">Paper-specific audit completed</t>
  </si>
  <si>
    <t xml:space="preserve">2025 21th International Conference on Wireless and Mobile Computing, Networking and Communications (WiMob)</t>
  </si>
  <si>
    <t xml:space="preserve">PHY; MAC; Routing/Mesh; Positioning/Localization; Industrial/Testbed/Application; Modeling/Analytical</t>
  </si>
  <si>
    <t xml:space="preserve">—DECT-2020 New Radio (NR) is a Radio Interface Technology (RIT) that meets the IMT-2020 requirements for UltraReliable Low-Latency Communications (URLLC) and massive Machine-Type Communications (mMTC). ITU-R approval was gained by the end of 2021, and it remains the only non-cellular 5G technology to date. This work presents an enhanced Medium Access Control (MAC) protocol that utilizes the mesh-networking capability of DECT-2020 NR, extending the procedures and MAC messages beyond the standard. The protocol dynamically assigns radio devices (RDs) the role of intermediate nodes for routing data to RDs in locations prone to outages, thereby reducing the outage rate to below 1% and expanding the network’s coverage area. Furthermore, event-based simulations demonstrate the protocol’s potential to enable ultra-reliable 5G private networks, positioning DECT-2020 NR as a promising candidate for evolving into a 6G wireless technology in future releases of the standard.</t>
  </si>
  <si>
    <t xml:space="preserve">5G private networks, positioning DECT-2020 NR as a promising candidate for evolving into a 6G wireless technology in future releases of the standard. Index Terms—URLLC, TDMA, DECT-2020, MAC, 5G, 6G, Future Wireless Networks, New Radio, Coverage, Outage Rate. I. I NTRODUCTION DECT-2020 NR is a RIT developed and maintained by the European Telecommunications Standards Institute (ETSI). It targets applications that lie between the extremes of URLLC and mMTC. DECT-2020 NR is ideal for presence monitoring, audio streaming, smart city developments, and industrial and consumer IoT [2], [4]. It offers local deployment options without the need for dedicated network infrastructure or extensive network planning, due to its inherent capability to form mesh networks, where radio devices make autonomous routing decisions. However, while detailed network planning is not required, seamless and ubiquitous coverage remains crucial for reliable wireless communication. Therefore, addressing coverage-related challenges and finding effective solutions is essential. Coverage enhancement strategies are discussed in [14], proposing solutions such as Heterogeneous Networks (HetNets), relaying, and cloud-based mechanisms for nextgeneration wireless technologies. Network coverage and the network capacity trade-off are investigated in [9] along with the deployment costs. In [10], coverage analysis is presented along with network throughput and techniques such as mmWaves</t>
  </si>
  <si>
    <t xml:space="preserve">Event-based simulations indicate that dynamic relay assignment expands coverage while maintaining an outage rate below 1%.</t>
  </si>
  <si>
    <t xml:space="preserve">Extends DECT-2020 NR MAC signaling with dynamic intermediate-node assignment for ultra-reliable multi-hop forwarding, increasing coverage and reducing outage below 1% in simulated private networks.</t>
  </si>
  <si>
    <t xml:space="preserve">Simulation-only evaluation; no hardware timing, signaling overhead, energy consumption, or coexistence measurements are reported.</t>
  </si>
  <si>
    <t xml:space="preserve">The standardized mesh procedures lack an adaptive relay-assignment mechanism specifically designed for ultra-reliable coverage extension.</t>
  </si>
  <si>
    <t xml:space="preserve">Evaluation verified: Simulation. The abstract explicitly reports event-based simulations; no hardware implementation or testbed is described.</t>
  </si>
  <si>
    <t xml:space="preserve">Ahmad et al. - 2025 - MAC-Layer Protocol for Ultra-Reliable Multi-Hop Communication in DECT-2020 NR IIoT Networks.summary.pdf</t>
  </si>
  <si>
    <t xml:space="preserve">Prototype the extended MAC messages and relay assignment on commercial devices and evaluate mobility, scalability, and multi-traffic operation.</t>
  </si>
  <si>
    <t xml:space="preserve">DL Routing Performance in DECT-2020 NR</t>
  </si>
  <si>
    <t xml:space="preserve">PHY; MAC; Routing/Mesh; Industrial/Testbed/Application; Modeling/Analytical</t>
  </si>
  <si>
    <t xml:space="preserve">—DECT-2020 NR, a global radio communication standard developed by ETSI, is designed to support industrial Internet of Things (IoT) applications. It complies with the requirements set by the ITU IMT-2020 framework. This study presents comprehensive simulations to evaluate downlink (DL) packet-forwarding performance in dense mesh networks using the DECT-2020 NR standard. Several studies address uplink performance; consequently, this specific downlink-focused research question has received limited attention in prior academic work. The study focuses on two routing mechanisms specified in the standard: Selective Flooding and Selective Source Routing, evaluated in a 1,200-node, 10-hop, large- scale deep mesh network. The simulation results indicate that the downlink (DL) capacity for Selective Flooding—where no routing information is required—is approximately 6 packets per second. For Selective Source Routing, the downlink (DL) throughput increases with the number of deterministic routing hops, reaching close to 145 packets per second when the system uses only a single 1.728 MHz channel. Both capacities are achieved while keeping the packet outage rate below 1% to comply with the IMT-2020 requirements.</t>
  </si>
  <si>
    <t xml:space="preserve">close to 145 packets per second when the system uses only a single 1.728 MHz channel. Both capacities are achieved while keeping the packet outage rate below 1% to comply with the IMT-2020 requirements. Index Terms—DECT-2020 NR, selective flooding, selective source routing, IoT, massive mesh networks I. I NTRODUCTION AND MOTIVATION Cluster 1: At channel x RDPT Cluster 2: At channel y RDFT RDPT Cluster 3: At channel z RDPT RDFT,PT RDPT RDFT,PT RDPT RDFT,PT RDFT,PT RDFT,PT RDFT,PT RDPT RDPT RDFT,PT Cluster 4: At channel y RDPT RDFT,PT RDPT RDPT RDFT.PT RDFT,PT RDFT,PT RDFT,PT RDPT RDFT,PT RDFT,PT RDPT Cluster 6: At channel y RDFT,PT RDFT RDFT,PT Cluster 5: At channel x Fig. 1. Illustration of DECT-2020 NR Mesh network structure [10] The design objective of DECT-2020 NR was to create a wireless communication technology that can be deployed and operated by individuals or companies anywhere and combine downlink traffic (i.e., from cloud to device) also plays an mesh communication support with modern OFDM-based radio important role. Therefore, we focus on how DECT-2020 NR supports downaccess [1]. The main target applications during the design phase link traffic in massive IoT deployments, using technologies were massive machine-type communication (mMTC) and ultraavailable in</t>
  </si>
  <si>
    <t xml:space="preserve">Selective flooding supports about 6 packets/s, whereas selective source routing approaches 145 packets/s with one 1.728 MHz channel while keeping outage below 1%.</t>
  </si>
  <si>
    <t xml:space="preserve">Provides a large-scale downlink routing assessment of selective flooding and selective source routing in a 1,200-node, 10-hop DECT-2020 NR mesh network.</t>
  </si>
  <si>
    <t xml:space="preserve">Results are simulation-based and depend on a single-channel, idealized topology and traffic assumptions; hardware and interference effects are not validated.</t>
  </si>
  <si>
    <t xml:space="preserve">Earlier work concentrated mainly on uplink behavior, leaving downlink capacity in deep, dense DECT-2020 NR meshes insufficiently quantified.</t>
  </si>
  <si>
    <t xml:space="preserve">Evaluation verified: Simulation. The study explicitly presents comprehensive simulations of a 1,200-node, 10-hop mesh.</t>
  </si>
  <si>
    <t xml:space="preserve">Alam et al. - 2026 - DL Routing Performance in DECT-2020 NR Massive Mesh Networks.summary.pdf</t>
  </si>
  <si>
    <t xml:space="preserve">Evaluate multi-channel operation, dynamic traffic and topology, interference, mobility, and implementation on large physical testbeds.</t>
  </si>
  <si>
    <t xml:space="preserve">URLLC-Based Multi-Hop Communication Using</t>
  </si>
  <si>
    <t xml:space="preserve">—DECT-2020 New Radio (NR) is a Radio Interface Technology (RIT) introduced by ETSI for massive Machine Type Communications (mMTC) and Ultra-Reliable Low Latency Communications (URLLC) use cases. A single DECT-2020 NR Radio Device (RD) in Fixed Termination (FT) mode announces radio resources for the connected RDs in Portable Termination (PT) mode. An RD can also operate in both modes simultaneously as an FT/PT. An RD in FT mode is responsible for packet routing for the connected radio devices. However, for multi-hop communication, RDs in FT mode flood the packet, which utilizes more network resources and introduces additional latency. In this paper, we propose a routing procedure for URLLC- based multihop communication using the MAC layer and convergence layer functionalities of DECT-2020 NR. Moreover, we formulate the optimization problem for optimal path selection based on userplane latency, which is our previous contribution to the ETSI self-evaluation technical report of DECT-2020 NR and propose a graph theory-based solution. The investigations demonstrate that an improvement of up to 15% in throughput and a reduction of up to 15% in end-to- end latency is observed in comparison with the standard flooding procedure.</t>
  </si>
  <si>
    <t xml:space="preserve">to DECT-2020 NR and its applications in a 5G mMTC use case. The author presented a system-level evaluation and compared the investigations with existing LPWAN solutions in terms of the supported density of nodes. Author in [8] performed a performance evaluation of DECT-2020 NR in a real-life industrial environment for various RF bands. The investigation includes the evaluation of PER, BER, and RMS delay spread for a bandwidth of 13.824 MHz. [9] also presented a link-level simulation for the use case of URLLC and evaluated PER for various modulation schemes with HARQ implementation. The simulation results verified the requirements of URLLC, achieving link latency below 1ms and reliability of 99.99%. In this paper, we propose a multi-hop routing procedure leveraging the MAC and convergence layers of the DECT2020 NR network to meet URLLC requirements. The gateway 979-8-3503-6836-9/25/$31.00 ©2025 IEEE Authorized licensed use limited to: Hochschule Aalen (FH) - Technik und Wirtschaft. Downloaded on February 25,2026 at 12:39:18 UTC from IEEE Xplore. Restrictions apply. 2025 IEEE Wireless Communications and Networking Conference (WCNC) maintains the network topology, with link costs defined by user plane latency to fulfill the DECT-2020 NR URLLC specifications as outlined in the standard [10] and ETSI evaluation report</t>
  </si>
  <si>
    <t xml:space="preserve">The proposed optimized routing procedure reports up to 15% higher throughput and up to 15% lower end-to-end latency than flooding.</t>
  </si>
  <si>
    <t xml:space="preserve">Formulates latency-aware path selection for DECT-2020 NR multi-hop URLLC using MAC and convergence-layer functions and a graph-theoretic routing solution.</t>
  </si>
  <si>
    <t xml:space="preserve">The study is primarily analytical/numerical and does not demonstrate protocol execution on hardware; control overhead and time-varying links are simplified.</t>
  </si>
  <si>
    <t xml:space="preserve">Standard flooding consumes excessive resources and increases latency, while optimized URLLC-oriented path selection was not defined.</t>
  </si>
  <si>
    <t xml:space="preserve">Evaluation verified: Analytical/Modeling. The work formulates an optimization problem and graph-theory solution; the summary does not report a physical testbed.</t>
  </si>
  <si>
    <t xml:space="preserve">Asif et al. - 2025 - URLLC-Based Multi-Hop Communication Using DECT-2020 NR.summary.pdf</t>
  </si>
  <si>
    <t xml:space="preserve">Implement the routing procedure, incorporate dynamic link quality and interference, and assess larger and mobile mesh deployments.</t>
  </si>
  <si>
    <t xml:space="preserve">PHY; MAC; Routing/Mesh; Industrial/Testbed/Application</t>
  </si>
  <si>
    <t xml:space="preserve">Many emerging applications require a higher level of flexibility, modularity, and efficiency but are dependent on advancements in communication infrastructure and distributed computing. Time-sensitive networking (TSN) standards aim at providing vendor agnostic, reliable, and deterministic communications over the Ethernet, but lack in flexibility and modularity provisions. In this context wireless communication systems are preferred given the obvious benefits in terms of increased flexibility, reduced deployment &amp; maintenance costs, and inherent mobility support. However, the stochastic nature of the wireless medium poses several challenges in achieving these benefits. In this paper we comprehensively analyze the recent standardization efforts and developments in IEEE 802.11 and 5G to enable low-latency, deterministic communications and present the current status of their integration with wired TSN. Then, we present a set of use cases that may be enabled by wireless TSN including industrial automation, automotive, or audiovisual applications.</t>
  </si>
  <si>
    <t xml:space="preserve">The development of future information technology (IT) and operational technology (OT) is being promoted by the vision of flexible, enhanced intelligence, and modular networks. The communication requirements for various applications are both demanding and diverse [1]. As an example, the growing complexity in industrial sensing and closed-loop control systems require the use of heterogeneous sensors, actuators, and control units that have to operate in a predictable and synchronous manner. The elements of the control system can be distributed over short or long distances, and thus the use of communication networks is compulsory to obtain a costeffective solution. Additionally, there is a high demand on the degree of flexibility provided by the communication network given the increasing number of mobile devices. On the one hand, the wired communication solutions that provide deterministic latency and high reliability may require cumbersome and expensive cabling or may not be even suitable due to lack of functionality such as mobility [2], [3]. On the other hand, the current state of wireless solutions do not provide the deterministic latency and high reliability required for emerging use cases. The time-sensitive networking (TSN) task group (TG) [4] is working on a set of standards that enable vendor agnostic</t>
  </si>
  <si>
    <t xml:space="preserve">The review identifies progress toward wireless TSN but concludes that deterministic latency and reliability remain challenging in stochastic wireless channels.</t>
  </si>
  <si>
    <t xml:space="preserve">Synthesizes IEEE 802.11 and 5G standardization developments for wireless TSN and maps their capabilities to industrial, automotive, audiovisual, and robotic use cases.</t>
  </si>
  <si>
    <t xml:space="preserve">The paper is a broad survey rather than a DECT-2020 NR evaluation and provides no DECT-specific simulation or testbed evidence.</t>
  </si>
  <si>
    <t xml:space="preserve">A consolidated assessment of how wireless standards integrate with wired TSN and support deterministic applications was lacking.</t>
  </si>
  <si>
    <t xml:space="preserve">Evaluation verified: Survey/Overview. The paper comprehensively analyzes standardization efforts and use cases; no original simulation or experiment is reported.</t>
  </si>
  <si>
    <t xml:space="preserve">Atiq et al. - 2022 - When IEEE 802.11 and 5G Meet Time-Sensitive Networking.summary.pdf</t>
  </si>
  <si>
    <t xml:space="preserve">Validate wireless TSN integration experimentally and investigate scheduling, synchronization, coexistence, and end-to-end determinism across heterogeneous networks.</t>
  </si>
  <si>
    <t xml:space="preserve">Priority-aware Radio Resource Scheduling</t>
  </si>
  <si>
    <t xml:space="preserve">PHY; MAC; Scheduling/Resource Allocation; Routing/Mesh; Industrial/Testbed/Application; Modeling/Analytical</t>
  </si>
  <si>
    <t xml:space="preserve"> Efficient and fair resource allocation for massive machine-type communication remains a significant challenge in 5G New Radio networks due to the diverse quality of service requirements and dynamic traffic patterns. This paper proposes a priority-aware uplink scheduling (PAUS) algorithm that jointly considers channel quality, 5G QoS identifier, packet aging, and fairness in physical resource block allocation, while simultaneously mitigating starvation of low-priority user equipment. The algorithm utilizes a composite fitness function to implement binary integer optimization for uplink scheduling, supported by heuristic resource assignment to ensure scalability. Simulation results demonstrate that the PAUS algorithm achieves an improved balance between throughput, resource utilization, delay, priority satisfaction, and fairness compared to baseline schedulers with polynomial-time complexity.</t>
  </si>
  <si>
    <t xml:space="preserve">The advent of 5G New Radio networks has fundamentally transformed wireless communications [1]. The International Telecommunication Union radiocommunication sector (ITU-R) introduced its 5G vision in 2015 through ITU-R recommendation M.2083, emphasizing that 5G NR would expand beyond enhanced mobile broadband (eMBB) to include massive machine-type communications (mMTC) and ultra-reliable low-latency communications (URLLC), each with stringent and diverse requirements [2]. According to [3], mMTC is characterized by low cost and low complexity of user equipment (UE), offering extended battery life, sporadic small data transmissions and relaxed latency constraints compared to URLLC applications. Different mMTC applications have different priority and delay tolerance characteristics, creating heterogeneous service requirements that pose unique challenges to radio resource allocation. 5G NR networks must ensure high throughput, massive connectivity, and optimal support for latency-tolerant and mission-critical applications [4]. Machine-type communication (MTC) represents a paradigm shift from traditional wireless communications. The integration of MTC into 5G NR networks introduces fundamental changes in traffic patterns [5], resource utilization, and JOURNAL OF TELECOMMUNICATIONS AND INFORMATION TECHNOLOGY 1/2026 scheduling requirements compared to previous generations. Most MTC traffic is uplink driven, with UEs periodically or sporadically transmitting data, status updates, or alarm notifications. The 5G NR uplink framework introduces several key enhancements</t>
  </si>
  <si>
    <t xml:space="preserve">Simulations show near-optimal throughput and utilization together with improved fairness, lower delay violations, and better priority satisfaction.</t>
  </si>
  <si>
    <t xml:space="preserve">Introduces a priority-aware uplink scheduler that jointly accounts for channel quality, 5QI priority, packet age, and fairness using binary-integer optimization and scalable heuristics.</t>
  </si>
  <si>
    <t xml:space="preserve">The study concerns 3GPP 5G NR rather than DECT-2020 NR and relies on simulation; real scheduler timing and deployment overhead are not measured.</t>
  </si>
  <si>
    <t xml:space="preserve">Existing 5G mMTC schedulers often optimize efficiency or priority separately and may starve low-priority or poor-channel devices.</t>
  </si>
  <si>
    <t xml:space="preserve">Evaluation verified: Simulation; Analytical/Modeling. A binary-integer optimization scheduler is evaluated through simulation results.</t>
  </si>
  <si>
    <t xml:space="preserve">Baheti and Khunteta - 2026 - Priority-aware Radio Resource Scheduling for mMTC in 5G Networks -- Balancing Efficiency and Fairnes.summary.pdf</t>
  </si>
  <si>
    <t xml:space="preserve">Implement the scheduler in a real gNB, test dynamic industrial traffic, and investigate adaptation to non-cellular mMTC systems.</t>
  </si>
  <si>
    <t xml:space="preserve">PHY; MAC; Routing/Mesh; Positioning/Localization; Industrial/Testbed/Application</t>
  </si>
  <si>
    <t xml:space="preserve">Digital Enhanced Cordless Telecommunications New Radio+ (DECT NR+) is a recently introduced non-cellular radio access technology operating in the global license- exempt 1.9 GHz band, specifically designed for dense Internet of Things (IoT) deployments. Targeting key Fifth Generation (5G) communications such as massive Machine-Type Communications (mMTC) and Ultra-Reliable Low-Latency Communications (URLLC), it promises high reliability, low latency, and extended range. However, limited empirical data exists on its practical performance. This thesis presents a comprehensive experimental evaluation of DECT NR+ at the physical layer (PHY) using Nordic Semiconductor’s nRF9161 development kits, DECT Shell (DeSh), and custom firmware. The testbed characterizes four key performance metrics: communication range, throughput, latency, and energy efficiency. Range tests conducted in both indoor and outdoor environments revealed a maximum Line-of- Sight (LoS) range of 730 meters outdoors with 80% Packet Delivery Ratio (PDR). Meanwhile at short range, maximum measured throughput was 2.498 Mbit/s at Modulation and Coding Scheme (MCS) 4 with 8 sub-slots, compared to the theoretical maximum of 3.36 Mbit/s. Latency measurements showed a minimum Round- Trip Time (RTT) of 2.255 ms for a 12-byte packet. Energy per bit ranged from 0.26 to 2.6 depending on the MCS level. Findings confirm that DECT NR+ offers significantly higher range and data rates than typical Bluetooth Low Energy (BLE) solutions but incurs higher energy costs, in both transmitter and receiver modes. These results highlight DECT NR+’s suitability for low duty-cycle, long- range, and latency-sensitive IoT applications, while identifying key areas for modem-level energy optimization.</t>
  </si>
  <si>
    <t xml:space="preserve">................................................................................ ............. 9 1.1</t>
  </si>
  <si>
    <t xml:space="preserve">Measured results include 730 m outdoor LoS at 80% PDR, 2.498 Mbit/s peak throughput, 2.255 ms minimum RTT, and 0.26–2.6 µJ/bit.</t>
  </si>
  <si>
    <t xml:space="preserve">Provides a comprehensive physical-layer testbed characterization of DECT NR+ range, throughput, round-trip latency, and energy using Nordic nRF9161 development kits.</t>
  </si>
  <si>
    <t xml:space="preserve">Tests use a small point-to-point setup and one vendor implementation; mesh scalability, interference, mobility, and complete MAC behavior are not evaluated.</t>
  </si>
  <si>
    <t xml:space="preserve">Empirical DECT NR+ performance data on commercial/pre-commercial hardware were limited, especially across range, latency, throughput, and energy in one study.</t>
  </si>
  <si>
    <t xml:space="preserve">Evaluation verified: Experimental/Testbed. A real testbed uses Nordic nRF9161 development kits, custom firmware, and physical range/throughput/latency/energy measurements.</t>
  </si>
  <si>
    <t xml:space="preserve">Bandara - 2025 - Experimental validation and analysis of the performance of DECT NR+ radio access technology.summary.pdf</t>
  </si>
  <si>
    <t xml:space="preserve">Assess multi-node and multi-hop deployments, coexistence, mobility, additional firmware versions, and modem-level energy optimizations.</t>
  </si>
  <si>
    <t xml:space="preserve">Eighteen International Workshop on Selected Topics in Mobile and Wireless Computing - 2025</t>
  </si>
  <si>
    <t xml:space="preserve">—DECT 2020 NR is a Radio Interface Technology (RIT) introduced by ETSI for massive Machine Type Communications (mMTC) and Ultra-Reliable Low Latency Communications (URLLC) use cases. Notably, DECT 2020 NR stands as the sole non- cellular 5G technology apt for industrial IoT (IIoT) scenarios. However, achieving the stringent reliability and latency requirements of URLLC in dense industrial settings poses a significant challenge due to various propagation losses and severe shadowing. In this research work, we propose a novel DECT 2020 NR framework incorporating Intelligent Reflecting Surface (IRS) to meet the challenging URLLC constraints. The framework maps the system model in 3D space, including the 3D mapping of the radiation pattern of IRS, and employs the Separating Axis Theorem (SAT) to systematically identify shadowed regions within this 3D system model and mitigate the identified shadowed areas, leveraging the proposed novel MAC procedure for the IRS-assisted DECT 2020 NR network. Additionally, we propose a resource allocation scheme based on the priority given to radio devices ready to offload the data. Comparative analysis demonstrates that our proposed solution achieves significant improvements in received power, throughput, and reduction in round-trip time (RTT) when compared to both the existing approach and the conventional DECT 2020 NR standard.</t>
  </si>
  <si>
    <t xml:space="preserve">systematically identify shadowed regions within this 3D system model and mitigate the identified shadowed areas, leveraging the proposed novel MAC procedure for the IRS-assisted DECT 2020 NR network. Additionally, we propose a resource allocation scheme based on the priority given to radio devices ready to offload the data. Comparative analysis demonstrates that our proposed solution achieves significant improvements in received power, throughput, and reduction in round-trip time (RTT) when compared to both the existing approach and the conventional DECT 2020 NR standard. Index Terms—DECT 2020 NR, URLLC, IRS, Industrial IoT, I. I NTRODUCTION DECT 2020 NR, or DECT NR+, is a non-cellular Radio Interface Technology (RIT) for 5G private networks, released by ETSI in 2020. It supports mMTC and URLLC use cases under the IMT-2020 guidelines [1]. Operating in license-exempt and licensed sub-6GHz bands, DECT NR+ enables local, selfhosted deployments suited for industrial IoT (IIoT), factory automation, and energy grid monitoring [2]. It supports Radio Devices (RDs) operating in Fixed Termination (FT), Portable Termination (PT), and combined FT/PT modes, denoted as RDFT , RDPT , and RDFT/PT , respectively. In factory hall environments, obstacles like metallic racks and heavy machinery can severely attenuate signal strength. The standard DECT NR+ method</t>
  </si>
  <si>
    <t xml:space="preserve">Comparative numerical analysis reports higher received power and throughput and lower RTT than the conventional DECT-2020 NR approach.</t>
  </si>
  <si>
    <t xml:space="preserve">Develops an IRS-assisted DECT-2020 NR framework with 3D shadow-region detection, a new MAC procedure, and priority-based resource allocation for industrial URLLC.</t>
  </si>
  <si>
    <t xml:space="preserve">The evaluation is model-based; no physical IRS-DECT prototype, hardware latency, channel estimation overhead, or deployment cost analysis is provided.</t>
  </si>
  <si>
    <t xml:space="preserve">Severe blockage and shadowing in industrial halls are not adequately handled by conventional DECT-2020 NR procedures under URLLC constraints.</t>
  </si>
  <si>
    <t xml:space="preserve">Evaluation verified: Analytical/Modeling. The work develops a 3D system model, SAT-based shadow detection, and comparative numerical analysis; no physical testbed is stated.</t>
  </si>
  <si>
    <t xml:space="preserve">Bin Asif et al. - 2025 - IRS-Assisted DECT-2020 NR Framework for Ensuring URLLC Constraints in Industrial IoT.summary.pdf</t>
  </si>
  <si>
    <t xml:space="preserve">Build an IRS-assisted testbed and study online channel estimation, IRS control delay, scalability, energy consumption, and mobile industrial devices.</t>
  </si>
  <si>
    <t xml:space="preserve">2024 Workshop on Computing, Networking and Communications (CNC)</t>
  </si>
  <si>
    <t xml:space="preserve">—The purpose of this paper is to evaluate the applicability of wireless mesh networks as a suitable alternative to traditional mobile networks for the monitoring and protection of critical infrastructures. Present-day mobile networks have to handle a large amount of data due to the increase in the need for mobile broadband and the number of users. Therefore, monitoring critical infrastructures exerts an additional load on the existing networks. Thus, the applicability of wireless mesh networks (operating at independent frequency bands) is investigated to determine if they are capable of protecting and monitoring critical infrastructures such as smart grids. The reliability and latency of optimally tuned wireless mesh networks free of other network traffic are studied with the help of simulations based on the DECT-2020 NR standard. It is observed that reliable communications can be realized, however, the end-to- end latency of the network increases with the number of hops and re- transmissions. The user plane latency varies between 10.55 ms to 25.07 ms over five hops and between 15.55 ms to 38.78 ms over eight hops based on the size of the packet. Furthermore, there is a 1.2 to 2 times increment in the latency with each re-transmission. Therefore, a trade-off is necessary to achieve ultra- reliable low-latency communications utilizing wireless mesh networks for monitoring and protection of critical infrastructures.</t>
  </si>
  <si>
    <t xml:space="preserve">of a reasonable back-off time leads to an increase in data transmission duration. This occurs because the system must delay data transmission to ensure synchronization between transmitting and receiving RDs. However, the incorporation of a back-off time in such systems is justifiable, and subsequent calculations account for this back-off duration. In real-world scenarios, multiple RDs play a role in transmitting data to the destination RD or gateway. Table IV provides a summary of the user plane latency for a system with five hops. It’s noteworthy that, akin to the single-hop scenario, the packet size has a direct impact on the duration of data transmission. Additionally, it’s evident that for a given Authorized licensed use limited to: Hochschule Aalen (FH) - Technik und Wirtschaft. Downloaded on February 26,2026 at 07:58:21 UTC from IEEE Xplore. Restrictions apply. 104 2024 Workshop on Computing, Networking and Communications (CNC) 120 100 Latency (ms) 80 n=0 n=1 n=2 n=3 n=4 n=5 60 40 20 0 32 296 552 824 1096 1352 Packet size (in bits) 1608 1864 Fig. 3. User plane latency over eight hops as a function of the packet size and the number of re- transmissions (n). packet size, the transmission duration increases approximately by</t>
  </si>
  <si>
    <t xml:space="preserve">Simulated user-plane latency ranges from 10.55–25.07 ms over five hops and 15.55–38.78 ms over eight hops, increasing 1.2–2× per retransmission.</t>
  </si>
  <si>
    <t xml:space="preserve">Quantifies reliability–latency trade-offs for DECT-2020 NR multi-hop mesh communication used to monitor critical infrastructure.</t>
  </si>
  <si>
    <t xml:space="preserve">Simulation-only study with simplified traffic and channel assumptions; no field deployment in a critical infrastructure environment.</t>
  </si>
  <si>
    <t xml:space="preserve">The feasibility of independent wireless meshes for smart-grid monitoring had not been quantified under different hop counts, packet sizes, and retransmissions.</t>
  </si>
  <si>
    <t xml:space="preserve">Evaluation verified: Simulation. Reliability and latency are explicitly studied using simulations based on DECT-2020 NR.</t>
  </si>
  <si>
    <t xml:space="preserve">Biswas et al. - 2024 - Reliable and Low-Latency Communications for Critical Infrastructures Utilizing Wireless Mesh Network.summary.pdf</t>
  </si>
  <si>
    <t xml:space="preserve">Validate on operational infrastructure and investigate adaptive retransmission, routing, interference, and priority scheduling.</t>
  </si>
  <si>
    <t xml:space="preserve">Reliable and Low-Latency Communications</t>
  </si>
  <si>
    <t xml:space="preserve">Duplicate</t>
  </si>
  <si>
    <t xml:space="preserve">of a reasonable back-off time leads to an increase in data transmission duration. This occurs because the system must delay data transmission to ensure synchronization between transmitting and receiving RDs. However, the incorporation of a back-off time in such systems is justifiable, and subsequent calculations account for this back-off duration. In real-world scenarios, multiple RDs play a role in transmitting data to the destination RD or gateway. Table IV provides a summary of the user plane latency for a system with five hops. It’s noteworthy that, akin to the single-hop scenario, the packet size has a direct impact on the duration of data transmission. Additionally, it’s evident that for a given 120 100 Latency (ms) 80 n=0 n=1 n=2 n=3 n=4 n=5 60 40 20 0 32 296 552 824 1096 1352 Packet size (in bits) 1608 1864 Fig. 3. User plane latency over eight hops as a function of the packet size and the number of re- transmissions (n). packet size, the transmission duration increases approximately by a factor of around 3.5–4 times when data is transmitted over five hops. Table V provides a summary of the user plane latency for a system with eight hops, categorized by packet size.</t>
  </si>
  <si>
    <t xml:space="preserve">Same results as ID 9.</t>
  </si>
  <si>
    <t xml:space="preserve">Duplicate record of the Biswas et al. study that quantifies reliability–latency trade-offs for DECT-2020 NR multi-hop critical-infrastructure monitoring.</t>
  </si>
  <si>
    <t xml:space="preserve">Duplicate of ID 9 and should be merged or removed before final synthesis.</t>
  </si>
  <si>
    <t xml:space="preserve">Same as ID 9; retained only as a duplicate record for traceability.</t>
  </si>
  <si>
    <t xml:space="preserve">Duplicate of ID 9. Merge or remove before final PRISMA count and synthesis.</t>
  </si>
  <si>
    <t xml:space="preserve">Biswas et al. - 2024 - Reliable and Low-Latency Communications for Critical Infrastructures Utilizing Wireless Mesh Networks.summary.pdf</t>
  </si>
  <si>
    <t xml:space="preserve">Merge with ID 9 and keep one canonical bibliographic record.</t>
  </si>
  <si>
    <t xml:space="preserve">EWDC: Integrating DECT-2020 With Wi-Fi for</t>
  </si>
  <si>
    <t xml:space="preserve">PHY; MAC; Routing/Mesh; Positioning/Localization; Security/Multi-RAT; Industrial/Testbed/Application; Modeling/Analytical</t>
  </si>
  <si>
    <t xml:space="preserve">—The rapid growth of smartphones, laptops, and Internet of Things (IoT) devices has created an increasing demand for seamless, secure, and energy-efficient wireless direct communication. Current popular solutions, such as AirDrop and Intel Unison, rely on bluetooth low energy (BLE) for device discovery and pairing, alongside IEEE 802.11 (Wi-Fi) for high-speed data transmission. However, research has identified significant vulnerabilities in BLE, including information leakage and profile manipulation. To address these challenges, we propose an enhanced wireless direct connectivity (EWDC) framework that integrates digital enhanced cordless telecommunications (DECT)-2020 new radio (NR) with Wi-Fi. In this framework, DECT replaces BLE to enable secure and efficient device discovery, while Wi-Fi supports high-bandwidth data transmission. Specifically, DECT utilizes its licensed spectrum to establish a secure communication channel for sharing Wi-Fi configuration information, enabling a secure and reliable setup of high-speed Wi-Fi data transmission links between devices. To validate this approach, we implemented the DECT medium access control layer on the Nordic nRF9161-DK platform and evaluated the end-to- end delay between two devices. Our results demonstrate an impressive transmission delay of less than 1 µs for EWDC communication, enabling rapid device discovery and highly efficient operation. Furthermore, to enhance the security of wireless direct connections, the WireGuard, a VPN tunnel, is employed to encrypt data transmission over Wi-Fi providing robust protection for data shared on public frequency bandwidths. The proposed hybrid DECT-2020 NR and Wi-Fi solution significantly improves reliability, security, and communication efficiency, positioning it as a robust candidate for next-generation IoT communication systems.</t>
  </si>
  <si>
    <t xml:space="preserve">setup of high-speed Wi-Fi data transmission links between devices. To validate this approach, we implemented the DECT medium access control layer on the Nordic nRF9161-DK platform and evaluated the end-to-end delay between two devices. Our results demonstrate an impressive transmission delay of less than 1 µs for EWDC communication, enabling rapid device discovery and highly efficient operation. Furthermore, to enhance the security of wireless direct connections, the WireGuard, a VPN tunnel, is employed to encrypt data transmission over Wi-Fi providing robust protection for data shared on public frequency bandwidths. The proposed hybrid DECT-2020 NR and Wi-Fi solution significantly improves reliability, security, and communication efficiency, positioning it as a robust candidate for next-generation IoT communication systems. Index Terms—DECT-2020, digital enhanced cordless telecommunications (DECT), enhanced wireless direct connectivity (EWDC), wireless direct communication. I. I NTRODUCTION ITH the rapid development of Internet of Things (IoT) technologies and applications, the demand for wireless direct communication has grown significantly to enable seamless information exchange between devices over noncellular networks. To meet this need, wireless direct communication in the IoT context must provide both efficient device discovery and high-speed data transfer. Prominent examples include W Received 7 January 2025; revised 7 April 2025; accepted 23 May</t>
  </si>
  <si>
    <t xml:space="preserve">The Nordic nRF9161-based prototype demonstrates sub-microsecond DECT communication delay for the evaluated discovery/configuration operation.</t>
  </si>
  <si>
    <t xml:space="preserve">Implements an enhanced wireless direct-connectivity framework in which DECT-2020 NR performs secure discovery/configuration and Wi-Fi carries high-rate encrypted traffic.</t>
  </si>
  <si>
    <t xml:space="preserve">Evaluation uses a small two-device prototype; broader interoperability, energy consumption, attack resistance, and multi-user scalability remain untested.</t>
  </si>
  <si>
    <t xml:space="preserve">BLE-based discovery in existing direct-connectivity systems has security weaknesses, while secure DECT–Wi-Fi integration had not been demonstrated.</t>
  </si>
  <si>
    <t xml:space="preserve">Evaluation verified: Experimental/Testbed. The DECT MAC layer is implemented on Nordic nRF9161-DK hardware and delay is measured between two devices.</t>
  </si>
  <si>
    <t xml:space="preserve">Dang et al. - 2025 - EWDC Integrating DECT-2020 With Wi-Fi for Enhanced Wireless Direct Connectivity.summary.pdf</t>
  </si>
  <si>
    <t xml:space="preserve">Evaluate larger deployments, mobility, energy, security attacks, interoperability, and comparison with existing commercial direct-connectivity solutions.</t>
  </si>
  <si>
    <t xml:space="preserve">Uni-RAT: A Unified DECT-2020 NR and Wi-Fi</t>
  </si>
  <si>
    <t xml:space="preserve">PHY; MAC; Scheduling/Resource Allocation; Routing/Mesh; Positioning/Localization; Security/Multi-RAT; Industrial/Testbed/Application; Modeling/Analytical</t>
  </si>
  <si>
    <t xml:space="preserve">—Future 6G networks aim to deliver seamless, secure, and low-latency connectivity across heterogeneous radio access technologies (RATs) such as 5G New Radio (NR), Wi-Fi, and DECT-2020 NR to support emerging applications including extended reality (XR) and the Industrial Internet of Things (IIoT). However, current Multi-RATs systems are operated and managed in isolation, which hinders users and devices from seamlessly leveraging heterogeneous connectivity in a unified and efficient manner. To address this fragmentation, 3GPP has introduced interworking functions such as the N3IWF for untrusted and the TNGF for trusted non-3GPP access, enabling IP-session continuity when users move across heterogeneous networks. Nevertheless, these mechanisms rely on mandatory IPsec, which requires each RAT to maintain a separate secure tunnel to the core network and prevents intra-cell device-todevice (D2D) communication, thereby introducing significant encryption latency, increasing data-plane load, and complicating network management. To overcome these limitations, we propose Uni- RAT, a unified Multi-RATs framework in which DECT2020 NR operates as the Master- RAT, anchoring 3GPP controlplane security via 5G-AKA and NAS, while Wi-Fi functions as a Secondary-RAT for data-plane data delivery. Uni-RAT employs lightweight Layer-3 WireGuard tunnels to secure both D2D and multi-hop communication, significantly reducing the latency and computational overhead of IPsec-based interworking mechanisms used by N3IWF and TNGF. In addition, a customized SMS-over-NAS signaling mechanism is introduced to distribute WireGuard configuration and keying material, enabling unified authentication and efficient Multi-RATs security management. We implement a full prototype using Nordic nRF9161 DECT-2020 NR devices, Raspberry Pi Wi-Fi nodes, and a Cumucore 5G core, with security-critical functions protected inside Arm TrustZone. Experimental results indicate that Uni-RAT supports Multi-RATs communication with high throughput and low packet loss in intra-cell D2D scenarios, maintains bounded latency and jitter under relay-assisted and inter-cell configurations, and achieves stable UE registration latency below 100 ms with up to 100 concurrent devices under background traffic, demonstrating its practical feasibility and scalability and positioning Uni-RAT as an early architectural blueprint for 6G Multi-RATs networks.</t>
  </si>
  <si>
    <t xml:space="preserve">and costeffective connectivity [5]. The 3rd generation partnership project (3GPP) specifies two interworking functions for non-3GPP access in TS23.502 [6], which extend 5G connectivity beyond licensed cellular access and enable the integration of heterogeneous RATs such as Wi-Fi and LiFi with the 5G Core (5GC). In the untrusted non-3GPP access model, the non-3GPP interworking function (N3IWF) connects the user equipment (UE) to the 5GC via an end-to-end (E2E) IPsec tunnel that secures both NAS signaling and data-plane traffic. In contrast, the trusted non3GPP access model employs the Trusted non-3GPP gateway function (TNGF), which enables direct NAS signaling between the UE and the access and mobility management function (AMF) while relying on trusted link- layer security mechanisms, such as IEEE 802.1X or MACsec. While both N3IWF and TNGF enable non-3GPP access to the 5GC, they are fundamentally designed to integrate each non-3GPP RAT independently through per-access secure connectivity to the core network. Consequently, security contexts are not shared across RATs, which prevents coordinated cross-RAT control and results in fragmented control- plane operation. Moreover, although these mechanisms ensure E2E integrity and confidentiality, their reliance on IPsec tunneling or link-layer security increases configuration complexity and computational overhead, whicih limitations constrain deployment flexibility in heterogeneous environments,</t>
  </si>
  <si>
    <t xml:space="preserve">Prototype tests report stable registration below 100 ms for up to 100 devices and feasible D2D, relay-assisted, and inter-cell communication with bounded latency and jitter.</t>
  </si>
  <si>
    <t xml:space="preserve">Implements Uni-RAT, a unified DECT-2020 NR and Wi-Fi architecture using DECT as the master control RAT, WireGuard for data security, and a 5G core for authentication.</t>
  </si>
  <si>
    <t xml:space="preserve">The work is a non-peer-reviewed preprint and uses a laboratory prototype; wider interoperability, adversarial security testing, and field-scale operation remain open.</t>
  </si>
  <si>
    <t xml:space="preserve">Existing non-3GPP interworking treats each RAT independently, adds IPsec overhead, and does not efficiently support intra-cell D2D and coordinated multi-RAT control.</t>
  </si>
  <si>
    <t xml:space="preserve">Check publication type / peer-review status | Evaluation verified: Experimental/Testbed. A full prototype is implemented using nRF9161 devices, Raspberry Pi nodes, and a 5G core; results are experimental.</t>
  </si>
  <si>
    <t xml:space="preserve">Dang et al. - 2026 - Uni-RAT A Unified DECT-2020 NR and Wi-Fi System for 6G Multi-RAT Networks.summary.pdf</t>
  </si>
  <si>
    <t xml:space="preserve">Validate with more RATs and vendors, larger field deployments, mobility, formal security analysis, and standardized control-plane integration.</t>
  </si>
  <si>
    <t xml:space="preserve">Assessment of Candidate Technology ETSI:</t>
  </si>
  <si>
    <t xml:space="preserve">—A number of IMT-2020 candidate technologies including the 3GPP have been submitted to the ITU-R. All candidate technologies are expected to meet the minimum performance requirements set by ITU-R for getting recommended as IMT-2020. In this paper, based on the submissions for Digital Enhanced Cordless Telecommunication (DECT-2020 NR) technology, we have evaluated the performances of latency, reliability and connection density as per ITU-R evaluation methodology. We found that the latency requirements can only be met using half- slot transmissions or HARQ-less full-slot transmission in contrary to the results submitted in the self-evaluation report of the DECT-2020 NR. Due to lack of details in the submissions; like the channel and interference modeling between device to device relaying, scheduling and control of relay propagation direction, we could not conclude whether the DECT-2020 NR can meet the minimum performance requirement of connection density of IMT-2020.</t>
  </si>
  <si>
    <t xml:space="preserve">direction, we could not conclude whether the DECT-2020 NR can meet the minimum performance requirement of connection density of IMT-2020. Index Terms—5G India Forum, DECT, NR, Latency, Reliability, Connection Density, Beamformng I. I NTRODUCTION The International Telecommunication Union Radiocommunication sector (ITU-R) has set the requirements for International Mobile Telecommunications-2020 (IMT-2020 5G Standard). The standard is about to complete in next few months that is, by 2020 [1]. However, some parts of it have been finalized earlier. For example, the requirements for radio access technologies (RAT) were adopted in ITU-R report M.2410 in November 2017 [2]. Following this publication, the developers of radio access technologies such as third generation partnership project (3GPP) started developing 5G technologies meeting these requirements. 3GPP has developed radio access technologies new radio (NR), Long term evolution - machine type communication (LTE-M) and narrow band - Internet of things (NB-IoT) which together meet all the requirements [3]. Additionally, many other candidate technologies developed by China, Korea, the European telecommunications standards 978-1-7281-7299-6/20/$31.00 © 2020 IEEE Institute (ETSI)-digital enhanced cordless telecommunications (DECT) Forum, enhanced ultra high throughput (EUHT) have been submitted to ITU-R; claiming to have met the minimum technology requirements. Candidate technologies submitted to ITU-R need to fulfil</t>
  </si>
  <si>
    <t xml:space="preserve">The authors conclude that latency requires half-slot or HARQ-less full-slot transmission and that available information is insufficient to verify connection-density compliance.</t>
  </si>
  <si>
    <t xml:space="preserve">Independently assesses DECT-2020 NR against IMT-2020 latency, reliability, and connection-density requirements and identifies discrepancies in the submitted self-evaluation.</t>
  </si>
  <si>
    <t xml:space="preserve">Connection density could not be conclusively evaluated because channel, interference, scheduling, and relay-propagation details were missing.</t>
  </si>
  <si>
    <t xml:space="preserve">Independent verification of the candidate technology submission was needed because several modeling and relaying assumptions were insufficiently documented.</t>
  </si>
  <si>
    <t xml:space="preserve">Evaluation verified: Analytical/Modeling. The paper evaluates submitted performance values using ITU-R methodology and analytical calculations; no testbed is reported.</t>
  </si>
  <si>
    <t xml:space="preserve">Dhanwani et al. - 2020 - Assessment of Candidate Technology ETSI DECT-2020 New Radio.summary.pdf</t>
  </si>
  <si>
    <t xml:space="preserve">Repeat the assessment using complete system assumptions and validated models for interference, scheduling, and device-to-device relaying.</t>
  </si>
  <si>
    <t xml:space="preserve">DECT-2020 NR for Professional Live Audio:</t>
  </si>
  <si>
    <t xml:space="preserve">PHY; MAC; Routing/Mesh; Security/Multi-RAT; Industrial/Testbed/Application</t>
  </si>
  <si>
    <t xml:space="preserve">—This paper presents an in-depth evaluation of the DECT-2020 New Radio (NR) standard for professional live audio applications, focusing on latency as a critical performance indicator. The evaluation uses the nRF91 modem series by Nordic Semiconductor, currently the first and only available devices with DECT-2020 support. We evaluate the potential of DECT-2020 by exploring the design space of the standard, explaining the complexity of trade-offs between latency, RF resource utilization, and transmission robustness. We then present our measurement setup, to analyze the performance. Based on a series of practical latency measurements with different configurations, we identify potential operation points for transmitting wireless audio over DECT-2020 and conclude that the minimum achievable latency with the current DECT2020 modem implementation is 2.312 ms, at a cost of about onethird of the RF channel resources. Our results represent a minimum latency estimation as only the physical layer is currently available as an implementation, and other key performance indicators were not considered in this work. These findings provide valuable insights into the current state of DECT-2020 for professional live audio applications and highlight areas for future exploration. reliability requirement for the transmission seems obvious in a live stage scenario, there are also latency limitations tolerable by professionals. This is related to the feedback loop from microphone to mixing console and back to the in- earmonitoring. The overall latency should not exceed about 4 ms for the full loop. While this includes a typical processing delay of about 2 ms in a mixing console, only 1 ms remains for each one-way wireless transmission [1] [2]. Figure 1 illustrates this typical stage setup. The data rate of a wireless audio stream can be approximated to about 200 kbit/s, assuming 48000 samples / s and a state-of-the-art professional live audio codec. Packet error rates should be smaller than 10-6 to ensure sufficient quality-of-experience for audience and artists [3].</t>
  </si>
  <si>
    <t xml:space="preserve">Local wireless transmission (TX) of audio plays an important role in many professional live audio applications. The combination of wireless microphones and in-earmonitoring (IEM) devices allow musicians to freely move on a live stage without having to manage cables. While the s ireless icrop one ax 2 s s Live Processing usician s n-Ear- onitor Fig. 1. Latency critical self-feedback loop in professional live audio applications II. WIRELESS TECHNOLOGIES FOR PROFESSIONAL LIVE AUDIO The selection and implementation of wireless technologies in the context of professional audio applications is a complex and heterogeneous field to navigate. A. Custom and non-standard As of today, the combination of all requirements from battery runtime, built size, deterministic transmission reliability and latency, cost, and spectrum access can be achieved with non-standard, hand-optimized, and highly interlinked audio and radio frontends, based on narrow- or wide-band analog or digital modulations. Although this approach results in commercially successful products, the customized nature of the overall stack leads to significant development costs with relatively slow innovation cycles. B. Application agnostic In contrast many successful standardized wireless technologies, such as Wi-Fi and 5G, are originally designed to be application agnostic. One major element in achieving this was to focus on</t>
  </si>
  <si>
    <t xml:space="preserve">The minimum measured modem latency is 2.312 ms, but it consumes roughly one-third of available RF channel resources.</t>
  </si>
  <si>
    <t xml:space="preserve">Performs practical latency measurements and design-space analysis of DECT-2020 NR for professional live-audio links using Nordic nRF91 hardware.</t>
  </si>
  <si>
    <t xml:space="preserve">Only the available PHY implementation is measured; reliability, complete protocol-stack latency, audio quality, and multi-user operation are not assessed.</t>
  </si>
  <si>
    <t xml:space="preserve">The feasibility of commercial DECT-2020 NR implementations for sub-4 ms professional audio loops had not been experimentally established.</t>
  </si>
  <si>
    <t xml:space="preserve">Evaluation verified: Experimental/Testbed. The paper uses nRF91 modems and reports practical latency measurements from a measurement setup.</t>
  </si>
  <si>
    <t xml:space="preserve">Dürre and Werner - 2024 - DECT-2020 NR for Professional Live Audio Design Space Exploration and Practical Evaluation.summary.pdf</t>
  </si>
  <si>
    <t xml:space="preserve">Evaluate the full MAC/application stack, packet-error performance, multi-stream audio, interference, synchronization, and production-ready hardware.</t>
  </si>
  <si>
    <t xml:space="preserve">Master’s Programme in Computer, Communication and Information Sciences</t>
  </si>
  <si>
    <t xml:space="preserve">A rapid increase in number and diverse applications of connected devices has forced digital wireless protocols to specialize further for specific purposes. One of such applications is the previously unanswered market for reliable wireless low-latency communication in private self-sustained networks. As a revision of an older standard, DECT-2020 New Radio aims to provide a solution for this market. To research different physical layer properties of DECT in real-world environments, a software-defined radio (SDR) framework would be required. Since such design already existing for IEEE 802.11, a well-utilized open-source project openwifi, an analogous solution for DECT could be realized. The goal of this thesis was to provide an implementation for the first part of this SDR framework. The main contribution of this thesis is an FPGA-based packet detector for DECT. Written in Verilog-2001 for an AMD Zynq system-on-chip, the implemented design manages Synchronization Training Field preamble detection and timing synchronization with hardware efficient autocorrelation approach. The proposed design was evaluated using a simulation environment that integrated MATLAB and the Icarus Verilog simulation tool. Both real-world and generated data were utilized during the simulation. Compared to a cross-correlation based detection, the implementation utilizes only two complex-valued multiplications at the expense of a higher signal-to-noise (SNR) ratio requirement. In comparison to a reference autocorrelation-based detection, the implementation requires at least 2.6 dB higher SNR depending on the utilized configuration, yet it does not suffer from co-channel interference and includes a simpler signal power estimator. The resource utilization of the proposed design is comparable to that of openwifi despite differences in communication protocols. Finally, different power scaling factors were simulated to analyze the implementation’s performance. The thesis thus provides an initial foundation to a hardware-based SDR for DECT-2020 NR.</t>
  </si>
  <si>
    <t xml:space="preserve">1.1 Thesis objectives . . . . . . . . . . . . . . . . . . . . . . . . . . . 1.2 Structure of thesis . . . . . . . . . . . . . . . . . . . . . . . . . . . 9 10 11 2</t>
  </si>
  <si>
    <t xml:space="preserve">The detector uses only two complex multiplications but requires at least about 2.6 dB higher SNR than the reference autocorrelation method.</t>
  </si>
  <si>
    <t xml:space="preserve">Implements a hardware-efficient FPGA packet detector and timing-synchronization block as an initial component of an open SDR framework for DECT-2020 NR.</t>
  </si>
  <si>
    <t xml:space="preserve">The FPGA design is evaluated in simulation rather than deployed end-to-end on RF hardware; it requires higher SNR than the reference autocorrelation detector.</t>
  </si>
  <si>
    <t xml:space="preserve">An open, hardware-based SDR platform comparable to openwifi was unavailable for studying DECT-2020 NR PHY behavior.</t>
  </si>
  <si>
    <t xml:space="preserve">Check publication type / peer-review status | Evaluation verified: Simulation. The FPGA design is evaluated in a MATLAB/Icarus Verilog simulation environment; real-world data are inputs, not a hardware testbed validation.</t>
  </si>
  <si>
    <t xml:space="preserve">Fagerholm - 2024 - FPGA-based DECT-2020 New Radio packet detection.summary.pdf</t>
  </si>
  <si>
    <t xml:space="preserve">Integrate the detector into a complete SDR transceiver and validate it over the air under interference, multipath, and timing offsets.</t>
  </si>
  <si>
    <t xml:space="preserve">Mari: Responsive Wireless Communication</t>
  </si>
  <si>
    <t xml:space="preserve">PHY; MAC; Routing/Mesh; Security/Multi-RAT; Industrial/Testbed/Application; Modeling/Analytical</t>
  </si>
  <si>
    <t xml:space="preserve">Connecting large swarms of low-power micro-robots remains an open challenge: existing communication systems either lack the scalability to connect hundreds of units, or fail to deliver the low latency required for responsive control. For example, while Wi-Fi and BLE are commonly used in swarm robotics, scaling pe beyond 50 robots remains challenging. We introduce the Micro-robot Access Radio Infrastructure (Mari), a new link layer and architecture that aims to connect thousands of robots. Our TSCH-based link layer runs on commodity BLE radios, providing responsive control of up to 102 nodes using a single gate- ot way. To scale beyond a single gateway, Mari supports multiple non-coordinated gateways with fast node-controlled handovers. We further provide a lightweight tn infrastructure for real-time remote control and monitoring. We implement Mari on the popular nRF52840 and nRF5340 platforms, and extensively evaluate it in large-scale testbeds. In experiments with 100 nodes connected to a single gateway, Mari achieves a packet delivery ratio above 97%, round-trip latency rin of 269 ms, and full association time of 3.5 s under a join storm. When moving 100 nodes together between two gateways, we obtain an average handover duration of only 0.34 s. A single node handover time can take less than 50 ms. ep In a setup with 200 nodes and two gateways, we measure round-trip latency of 274 ms and a packet delivery ratio above 93%. We integrate Mari with the Pr Email address: geovane.fedrecheski@inria.fr (Geovane Fedrecheski) This preprint research paper has not been peer reviewed. Electronic copy available at: https://ssrn.com/abstract=6571600 iew ed DotBot testbed in an experimental deployment of several hundred robots, en- abling remote firmware update of 600 robots in less than 4 min. We contribute Mari as an open-source platform, including firmware, libraries, and performance monitoring tools, enabling researchers to connect swarm systems from a handful of units up to hundreds. ev</t>
  </si>
  <si>
    <t xml:space="preserve">er r Large-scale robotic swarms are the next frontier in distributed autonomous systems. Swarms of micro-robots [1] could perform inspection and damage repair in hard-to-reach places, such as engines, building interiors, and satellites in orbit. Their applications span from warehouse automation [2] to innovative pe user interfaces [3] and minimally invasive medicine [4]. Large swarms of small robots can also be useful to experiment with swarm behavior in more realistic scenarios before committing to full-scale robots, helping to close the simulationreality gap that is common in swarm robotics. Communication is a major challenge to the advance of swarm systems [5]. ot This includes not only peer- to-peer (P2P) communication among close-by robots, but also communication with “control towers” used to control and deploy a tn swarm. That is, even if robots have a robust P2P communication system, they still need some communication link with a central entity to receive missions. This includes the user interface and the user experience involved in humanswarm interactions, where users can want to dynamically change the behavior rin of a swarm dynamically [6]. Moreover, a global communication link with swarms is needed to perform operational tasks, such as uploading firmware [7] and collecting logs. ep As</t>
  </si>
  <si>
    <t xml:space="preserve">Hardware tests connect 100 nodes with above 97% PDR and 269 ms RTT, and demonstrate a 200-node two-gateway setup with PDR above 93%.</t>
  </si>
  <si>
    <t xml:space="preserve">Introduces the open-source Mari TSCH-based communication platform for large low-power robot swarms and validates it with hundreds of commodity BLE nodes.</t>
  </si>
  <si>
    <t xml:space="preserve">The system is based on BLE/TSCH rather than DECT-2020 NR and is currently a non-peer-reviewed preprint; results may not transfer directly to DECT NR+.</t>
  </si>
  <si>
    <t xml:space="preserve">Existing swarm communication solutions struggle to combine hundreds of devices with responsive control and fast handovers.</t>
  </si>
  <si>
    <t xml:space="preserve">Check publication type / peer-review status | Evaluation verified: Simulation; Experimental/Testbed. The work includes large-scale real-hardware testbeds and also simulates flocking behavior.</t>
  </si>
  <si>
    <t xml:space="preserve">Fedrecheski et al. - 2026 - Mari Responsive Wireless Communication for Low-Power Large-Scale Robot Swarms.summary.pdf</t>
  </si>
  <si>
    <t xml:space="preserve">Evaluate denser mobile swarms, interference robustness, energy consumption, and possible integration or comparison with DECT NR+.</t>
  </si>
  <si>
    <t xml:space="preserve">A Robust Routing Protocol for 5G Mesh Networks</t>
  </si>
  <si>
    <t xml:space="preserve">PHY; Routing/Mesh; Positioning/Localization; Security/Multi-RAT; Modeling/Analytical</t>
  </si>
  <si>
    <t xml:space="preserve">—We consider a novel routing protocol suitable for ad-hoc networks with dynamically changing topologies, such as DECT 2020 NR (NR+) systems, which often lead to missing links between the nodes and thus, incomplete or inefficient routes. A key point of the proposed protocol is the combination of network discovery and matrix completion techniques, which allow the nodes to establish communication paths efficiently and reliably. Additionally, multihop localization is performed to estimate the location of the nodes without needing to broadcast each node’s geographical position, thus preserving privacy during the routing process and enabling nodes in the network to independently find potentially missing paths in a decentralized manner instead of flooding the whole network. Simulation results illustrate the good performance of the proposed technique in terms of the average number of hops of the obtained routes in different scenarios, with different network densities and amounts of incompleteness.</t>
  </si>
  <si>
    <t xml:space="preserve">to the SotA routing approach for partially connected networks is given, the proposed method to find the missing entries of the incomplete hop matrix is introduced, followed by the multihop localization scheme, and the local route discovery. Finally, a comparison of the proposed scheme with the conventional breadth first search (BFS) algorithm performing network discovery on the network with partially missing edges, is offered in Section IV, followed by further performance evaluation in terms of the average number of hops for various network densities and incompleteness levels. II. N ETWORK M ODEL A.</t>
  </si>
  <si>
    <t xml:space="preserve">Simulations show favorable average route length across varying node densities and levels of missing connectivity compared with conventional discovery.</t>
  </si>
  <si>
    <t xml:space="preserve">Proposes a decentralized routing protocol that combines network discovery, matrix completion, and privacy-preserving multi-hop localization to recover missing routes.</t>
  </si>
  <si>
    <t xml:space="preserve">Evaluation is simulation-based; computation, signaling, localization error, mobility, and hardware feasibility are not fully quantified.</t>
  </si>
  <si>
    <t xml:space="preserve">Dynamic DECT NR+ mesh topologies can contain unknown links, and flooding-based discovery is inefficient and reveals unnecessary location information.</t>
  </si>
  <si>
    <t xml:space="preserve">Evaluation verified: Simulation; Analytical/Modeling. Matrix-completion and localization models are evaluated with simulation scenarios.</t>
  </si>
  <si>
    <t xml:space="preserve">Führling et al. - 2025 - A Robust Routing Protocol for 5G Mesh Networks.summary.pdf</t>
  </si>
  <si>
    <t xml:space="preserve">Implement the protocol on DECT NR+ devices and study mobility, noisy ranging, energy cost, scalability, and distributed convergence.</t>
  </si>
  <si>
    <t xml:space="preserve">Optimizing Delays in Random Access Procedure of</t>
  </si>
  <si>
    <t xml:space="preserve">—Massive Machine-Type Communication (mMTC) enables the seamless connectivity of billions energy-efficient devices, forming the intelligent infrastructure for smart cities, automated industries, and real-time data-driven decision making. In this paper we investigate the modern mMTC technology Digital Enhanced Cordless Telecommunication New Radio (DECT2020 NR), focusing on random access (RA) procedure. The study develops a mathematical model characterizing the RA phase and proposes a hidden Markov model (HMM)-based method for estimating the number of competing devices. The research introduces and evaluates a delay reduction strategy wherein the RA phase duration is adapted based on the HMM- based estimation of the device state. Numerical results demonstrate the effectiveness of the proposed approach in optimizing RA performance. The findings contribute to improving DECT-2020 network efficiency by balancing RA and data transmission phases while minimizing latency.</t>
  </si>
  <si>
    <t xml:space="preserve">research introduces and evaluates a delay reduction strategy wherein the RA phase duration is adapted based on the HMM-based estimation of the device state. Numerical results demonstrate the effectiveness of the proposed approach in optimizing RA performance. The findings contribute to improving DECT-2020 network efficiency by balancing RA and data transmission phases while minimizing latency. Index Terms—mMTC, DECT-2020, random access, delay, hidden Markov model I. I NTRODUCTION The Digital Enhanced Cordless Telecommunication New Radio (DECT-2020 NR) technology has emerged as a pivotal enabler for next-generation massive Machine-Type Communication (mMTC) networks [1], which are fundamental to the autonomous operation of smart cities and industrial systems [2]. Its relevance stems from its ability to support low-latency automated control and high-density device connectivity, owing to its energy-efficient and decentralized architecture. DECT-2020 facilitates a wide range of communication scenarios, operating with various devices. These devices can be sensors that transmit data sporadically, with stringent energy constraints, or end devices or relays that handle substantial data volumes, either intermittently or continuously. This diversity necessitates the coexistence of two phases: a random access (RA) phase, which caters to energy-limited devices, The reported study was funded by RSF, project number 2419-00804, ”https://rscf.ru/en/project//” https://rscf.ru/en/project/24-19-00804/ (Yu. Gaidamaka, Sections I</t>
  </si>
  <si>
    <t xml:space="preserve">Numerical results show that state-aware adaptation can reduce random-access delay and improve the balance between access and data phases.</t>
  </si>
  <si>
    <t xml:space="preserve">Develops a mathematical random-access model and an HMM-based estimator that adapts DECT-2020 NR random-access phase duration to device activity.</t>
  </si>
  <si>
    <t xml:space="preserve">Validation is numerical; estimation errors, implementation complexity, non-stationary traffic, and real-device behavior are not measured.</t>
  </si>
  <si>
    <t xml:space="preserve">Fixed random-access duration cannot efficiently balance access delay and data-transfer capacity under changing numbers of contending devices.</t>
  </si>
  <si>
    <t xml:space="preserve">Evaluation verified: Analytical/Modeling. The study develops mathematical/HMM models and reports numerical results.</t>
  </si>
  <si>
    <t xml:space="preserve">Gaidamaka et al. - 2025 - Optimizing Delays in Random Access Procedure of DECT-2020 by Estimation of Device States.summary.pdf</t>
  </si>
  <si>
    <t xml:space="preserve">Prototype the adaptive scheme and evaluate variable traffic, estimator robustness, signaling overhead, and distributed implementation.</t>
  </si>
  <si>
    <t xml:space="preserve">Improving Near-URLLC Services Performance over</t>
  </si>
  <si>
    <t xml:space="preserve">PHY; MAC; Scheduling/Resource Allocation; Routing/Mesh; Modeling/Analytical</t>
  </si>
  <si>
    <t xml:space="preserve">—DECT-2020 NR is a radio access technology designed for 5G Internet of Things (IoT) applications. By leveraging multi-hop communications and listen-before- talk (LBT) mechanisms, DECT-2020 NR offers a flexible and cost-effective deployment solution for massive machine-type communications (mMTC). The ETSI standardization committee currently considers extending use-case options to ultra-reliable low-latency communications by enabling scheduled access along with LBT. However, this approach can increase the cost of the end systems. The aim of this study is to investigate whether standardized physical and medium access control (MAC) mechanisms, including power control, LBT, and priority queuing, can provide nearURLLC operation over multihop topologies. Our results show that to improve loss performance one needs to disable power control, use a shorter back-off window, and enable priority data transmission. For improving latency performance it is critical to use shorter acknowledgement (ACK) timeout and send ACKs immediately after data packet reception. Applying these techniques allows us to improve multi-hop URLLC latency performance by up to 30-80% and loss performance by up to 1020% depending on URLLC and mMTC traffic conditions with only negligible impact on mMTC traffic performance.</t>
  </si>
  <si>
    <t xml:space="preserve">of scheduled transmissions over multi-hop topologies requires significant signaling overhead and more complex and thus more expensive end devices. It has already been demonstrated that such services can be supported over device-to- device (D2D) links in the DECT2020 topology with LBT access while coexisting with classic DECT systems and DECT-2020 NR operating in mMTC mode [9]. However, further improvements are needed to enable nearURLLC services in the multi-hop mode. Being aligned with 5G standards, DECT-2020 NR’s physical layer offers great flexibility in physical and link layer mechanisms, including modulation and coding schemes (MCS), per-link hybrid automatic repeat request (HARQ) procedures, power control, various numerologies, etc. [10], [11]. Along with systemlevel solutions, such as priority queuing, these mechanisms provide a great opportunity to prioritize the traffic of URLLC applications over the air interface. In this paper, we assess whether physical and MAC layer solutions already supported by the DECT-2020 NR standard are sufficient to enable near- URLLC services of multi-hop topologies in DECT-2020 NR systems supporting LBT access only. To this end, we first identify mechanisms that can improve the performance of near-URLLC traffic in the presence of competing mMTC traffic and then perform a detailed system-level simulation campaign that captures the specifics</t>
  </si>
  <si>
    <t xml:space="preserve">Recommended settings improve simulated latency by 30–80% and loss performance by 10–20% with negligible impact on mMTC traffic.</t>
  </si>
  <si>
    <t xml:space="preserve">Identifies standard PHY/MAC parameter settings that improve near-URLLC performance over multi-hop DECT-2020 NR networks coexisting with mMTC traffic.</t>
  </si>
  <si>
    <t xml:space="preserve">The conclusions are based on system-level simulation and do not include implementation delay, real interference, synchronization, or hardware limitations.</t>
  </si>
  <si>
    <t xml:space="preserve">It was unclear whether existing LBT, power-control, ACK, and priority mechanisms alone can support near-URLLC over multi-hop topology.</t>
  </si>
  <si>
    <t xml:space="preserve">Evaluation verified: Simulation. The summary explicitly describes a detailed system-level simulation campaign.</t>
  </si>
  <si>
    <t xml:space="preserve">Glazkov et al. - 2025 - Improving Near-URLLC Services Performance Over Multi-Hop Topologies in DECT-2020 NR Systems.summary.pdf</t>
  </si>
  <si>
    <t xml:space="preserve">Validate on hardware and investigate adaptive configuration, scheduled access, larger meshes, mobility, and mixed industrial traffic.</t>
  </si>
  <si>
    <t xml:space="preserve">A Pareto Optimality Approach</t>
  </si>
  <si>
    <t xml:space="preserve">—DECT NR+ is a novel wireless IoT standard operating in the 1.9 GHz band, a band originally reserved for Digital Enhanced Cordless Telecommunications (DECT). This technology is also announced as the first non-cellular 5G standard and theoretically offers wide flexibility in its application, ranging from Wireless Personal Area Network (WPAN) to Wide Area Network (WAN) scenarios. While this versatility is enabled by a wide range of configurable parameters, the practical application range is determined by the vendor’s specific implementation. In this article, we investigate the impact of adjusting Modulation and Coding Scheme (MCS), transmit power and packet length. We formulate objective functions for data rate, energy consumption, and Packet Delivery Ratio (PDR), and analyze their dependence on the aforementioned parameters. To model specific relationships, we conduct practical experiments in two real-world testbeds using hardware from the Nordic nRF91 series. Finally, we present an approach for parameter selection based on the principle of Pareto optimality. I. I NTRODUCTION As 5G networks continue to expand, the International Mobile Telecommunications (IMT-2020) requirements define ambitious targets for a wide range of application scenarios, with increasing influence extending also into the Internet of Things (IoT) domain [1]. While enhanced mobile broadband (eMBB) services have been successfully implemented in 3GPP 5G New Radio (NR) systems, and massive machine-type communication (mMTC) is being addressed through cellular IoT solutions like LTE-M or NB-IoT. ultra-reliable low-latency communication (URLLC) IoT services still remains a significant challenge [2]. DECT-2020 NR has emerged as a standardized 5G technology specifically designed for mMTC and URLLC applications, operating in the license-exempt 1.9 GHz band utilized by legacy Digital Enhanced Cordless Telecommunications (DECT) phones. This DECT-2020 NR standard, also referred to as DECT NR+, is announced as the first noncellular 5G standard [3]. DECT NR+ positions itself in the IoT landscape in a gap between traditional Wireless Personal Area Network (WPAN), Wi-Fi and Low Power Wide Area Network (LPWAN). DECT NR+ offers significantly higher data rates and extended range compared to typical low-rate WPAN such as Bluetooth Low Energy (BLE) or Zigbee. Its datarate is lower than Wi-Fi or cellular services such as 5G NR. For certain parameter configurations, DECT NR+ can achieve considerable coverage and also compete with LPWAN standards such as IEEE 802.15.4g. While recent studies primarily concentrate on theoretical investigations concerning device density and latency [4], [2], the practical performance aspects of DECT NR+ remain barely explored in real-world deployments [5]. Particularly, the strategic selection of transmission parameters represents an open research area that significantly impacts overall network performance. In this work, we propose the first approach to link adaptation in DECT NR+. Link adaptation defines the process of dynamically optimizing transmission parameters based on instantaneous channel conditions and specific user requirements. Indeed, DECT NR+ explicitly incorporates this capability through dedicated fields in its Physical Layer Control Field, including Channel Quality Indicator (CQI) reporting mechanisms that facilitate informed transmission parameter adjustments. We focus on three critical performance metrics in DECT NR+: energy consumption, data rate, and Packet Delivery Ratio (PDR). Energy consumption remains crucial for battery-powered devices; data rate determines the system’s capacity to handle information flow; PDR directly impacts the reliability, latency and number of retransmissions. By characterizing the three-dimensional trade-off space formed by these metrics, we provide an approach for link adaptation that can dynamically adjust to meet diverse requirements. Our methodology is based on the concept of Pareto optimality, and combines theoretical analysis with experimental evaluation using commercial DECT NR+ hardware (Nordic Semiconductor’s nRF91 series) in indoor and outdoor deployments. We characterize the achievable performance region and identify the Pareto-optimal configurations. This Pareto front comprises a set of optimal configurations where no single objective can be improved without simultaneously degrading at least one other. Conversely, any point not on the Pareto front is considered “dominated”: there exists at least one Paretooptimal configuration that is superior in at least one objective and not inferior in any other. Based on experiments in our two testbeds, we demonstrate how systems can navigate the resulting frontier to achieve superior performance compared to a fixed parameter selection. The remainder of this paper is organized as follows. Section II provides an overview of the DECT NR+ physical layer. Section III describes the link adaptation mechanism in DECT NR+. Section IV details our experimental setup. 979-8-3315-7729-2/26/$31.00 ©2026 IEEE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MCS 0 1 2 3 4 Modulation BPSK QPSK QPSK 16-QAM 16-QAM Nbps 1 2 2 4 4 Rcode 0.50 0.50 0.75 0.50 0.75 Table I: DECT NR+ Modulation and Coding Scheme 0-4. Section V presents the objective functions for parameter selection. Section VI introduces a Pareto optimality approach and evaluates beneficial operating points. Finally, Section VII concludes the paper and discusses future work. II. DECT NR+ PHY L AYER F UNDAMENTALS DECT-2020 NR is specified in the ETSI TS 103 636 standard [6]. This section offers a concise overview based on Release 2 dated October 2024, covering key aspects of the physical layer, including modulation, frequency allocations, and packet structure. A. Modulation The DECT NR+ physical layer employs Cyclic Prefix (CP) Orthogonal Frequency Division Multiplexing (OFDM) as its core modulation scheme. Three key modulation parameters determine the required bandwidth and data rate. The subcarrier spacing factor µ ∈ {1, 2, 4, 8} defines the spacing between adjacent subcarriers. Higher values of µ shorten the OFDM symbol duration, enabling lower latency at the cost of less multipath protection due to a shorter CP. The Fourier transform scaling factor β ∈ {1, 2, 4, 8, 12, 16} determines the number of subcarriers used. Larger β values increase the channel bandwidth and potential data throughput, but also require more complex Fast Fourier Transform (FFT) operations, raising computational demands on the transceiver. The Modulation and Coding Scheme (MCS) defines both the modulation format and the Forward Error Correction (FEC) code rate. Lower- order MCSs use simpler modulation schemes, such as Binary Phase-Shift Keying (BPSK) or Quadrature Phase-Shift Keying (QPSK) and lower code rates for robustness, while higher-order MCSs are based on Quadrature Amplitude Modulation (QAM) and offer increased payload capacity at the expense of error resilience. The standard includes 12 MCS levels, with the first five listed in Table I. C. Packet Structure In DECT NR+, packet lengths are defined in “slots”. Slots consist of subslots. Subslots consist of OFDM symbols. And OFDM symbols consist of subcarriers carrying resource elements (REs). The structure is illustrated in Fig. 1. We are particularly interested in how many information bits fit into a packet of length Lslot . This conversion is explained in the following. The maximum number of slots in a radio frame is F RAM E Nslot = 24 with a duration of T F RAM E = 10 ms, slot,µ i.e. Tslot = 0.41667 ms. Each slot is divided into Nsubslot subslots depending on µ. For µ = 1, one slot consists slot,µ of Nsubslot = 2 subslots. Each subslot always consists of subslot Nsymb = 5 OFDM symbols. Consequently, we can compute the number of OFDM symbols in a packet by slot,µ P ACKET subslot Nsymb = Lslot · Nsubslot · Nsymb . However, not all OFDM symbols belong to the actual data frame (DF). For µ = 1 the number of symbols used for Synchronization Training Field (STF) and Guard Interval (GI) GI+ST F is Nsymb = 2. The length of the data frame in symbols is GI+ST F DF P ACKET Nsymb = Nsymb − Nsymb . β P ACKET OFDM symbols and the NDF The Nsymb T subcarriers span up a matrix-like structure, with cells that are called β β REs. However, from these NDF T subcarriers, just NOCC are β occupied and the remaining NCP act as CP. For β = 1, we β β have NDF T = 64 and NOCC = 56. The REs are shared among the Demodulation Reference Signal (DRS), Physical Control Channel (PCC), and Physical Data Channel (PDC). The number of PDC REs carrying the actual information bits is defined as β P DC DF DRS P CC Nre = Nsymb · NOCC − Nre − Nre . P CC = 98. The number of REs reserved for the PCC is Nre The number of REs reserved for the DRS is determined by the number of effective antennas NTefXf . If NTefXf ≤ 2 we have Nstep = 5. &amp; ' P ACKET β Nsymb ef f NOCC DRS · Nre = NT X · 4 Nstep B. Frequency Band P DC P DC In the next step, Nre is converted into Nbits by P DC P DC Nbits = NSS · Nre · Nbps · Rcode DECT was originally developed for cordless telephony, with dedicated frequency bands reserved for that purpose. DECT NR+ is intended to operate in these bands, which remain license-free, allowing operation without regulatory fees. The frequency allocations for DECT NR+ vary by region. In Europe, Band 1 (1880–1900 MHz) is mandated, offering 21 channels spaced at 0.864 MHz. In North America, Band 9 (1920–1930 MHz) is used, comprised of 9 channels with the same spacing. The transmission power in this band is limited to +23 dBm. In a Single Input Single Output (SISO) scenario, the number of spatial streams is NSS = 1. The number of bits per modulation symbol Nbps and the code rate Rcode of the turbo code are dependent on the employed MCS in Table I. The turbo encoder granularity M is defined as  P DC 8, if Nbits ≤ 512    16, if N P DC ≤ 1024 bits M= P DC  32, if N  bits ≤ 2048   64, otherwise.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0 1 2 Header Format 3 4 Length Type (Slot/ Subslot) 5 6 7 Packet Length Channel Short Network ID Feedback Info Transmitter Identity Slots Transmitter Identity Transmit Power DF MCS Receiver Identity Subslots Receiver Identity Spatial Streams 31 30 29 28 27 26 25 24 23 22 21 20 19 18 17 16 STF PCC PCC PDC PDC PDC PDC PDC PDC GI 0 1 2 3 4 5 6 7 8 9 8 7 6 5 4 3 0 0 -5 -6 -7 -8 -9 -10 -11 -12 -13 -14 -15 -16 -17 -18 -19 -20 -21 -22 -23 -24 -25 -26 -27 -28 -29 Feedback Format DF HARQ Process Number 3 Transmission Feedback 1 Buffer Status 4 Channel Quality Indicator 4 Explanation Indicates the process of the HARQ feedback. 0 = NACK 1 = ACK Bit field indicating the current Buffer Size Region Bit field indicating the MCS proposed for the next TX Feedback Info Feedback Info 0 0 0 0 0 0 0 0 0 2 1 0 -1 -2 -3 -4 DF New Data Indication #bits Figure 2: Physical Layer Control Field Type 2 (Header Format 0) and the Feedback Info Field (Header Format 1) 0 0 15 14 13 12 11 10 9 OFDM Symbols DF Redundancy Version Field HARQ Process Number 0 0 Resource Elements 0 0 0 0 0 0 0 0 0 0 0 -30 -31 -32 Figure 1: Packet Structure of a DECT NR+ frame (µ = 1, β = 1) with packet length Lslot = 1. devices with varying receiver capabilities, as performance reporting is independent of receiver architecture. However, the standard suggests that receiver shall select the index in such a manner that the Block Error Rate (BLER) does not exceed 10 % with the indicated MCS in the given channel conditions. Furthermore, the RD Capability Information Element (IE), exchanged during association, communicates the maximum MCS a device can support, ensuring the transmitter does not exceed the receiver’s capabilities. IV. T EST S ETUP P DC NM is the largest multiple of M not greater than Nbits . P DC Nbits NM = ·M M The maximum turbo encoder block size is Z = 2048 and therefore segmentation of the transport block might be necesCRC sary. Finally, the Cyclic Redundancy Check (CRC) Nbits = TB 24 is appended and the transport block size Nbits can be calculated as ( CRC NM − l Nbits , if NM ≤ Z TB m CRC Nbits = NM −Nbits CRC NM − + 1 · Nbits otherwise. Z III. L INK A DAPTATION In DECT NR+, link adaptation, i.e. the adjustment of transmit power MCS and PT X , is based on a dual-channel transmission structure consisting of the PCC and PDC. The PCC always uses a fixed MCS, ensuring it can always be decoded by the receiver, while the PDC’s MCS is dynamically selected by the transmitter. Both channels are transmitted with the same power per transmission, but PT X itself can vary between transmissions to meet the required quality with minimal energy. The PCC includes the Physical Layer Control Field, which is shown in Fig. 2. It informs the receiver about the transmission parameters used for the PDC, including the selected MCS and transmit power. This allows the receiver to estimate the current path loss. Additionally, the Physical Layer Control Field contains Feedback Info, where the receiver can report a CQI, indicating the highest MCS it can decode under current conditions. The transmitter uses this CQI, along with calculated PDR and service quality targets, to adapt the MCS. The specific adaptation algorithm is not standardized and is left to vendor implementation, allowing differentiation and optimization. This design also supports interoperability across A. Hardware For the practical evaluation of link adaptation in DECT NR+, we use the nRF91 series from Nordic Semiconductor with the RF modem firmware version mfw- nr+_nrf91x1_1.1.0. For energy estimation, the nRF9151 DK is used due to its dedicated measurement pins. For range testing, the nRF9131 EK is used due to its external antenna connector. Several parameters specified in the standard are fixed on the nRF91 chips, including µ = 1, β = 1, NTefXf = 1 and NSS = 1. Additionally, only MCS levels 0 through 4 are currently implemented. The transmit power on the nRF9131 can be configured from -40 dBm to +19 dBm, while the nRF9151 additionally features up to 21 dBm. Packet lengths between 1 and 16 subslots are supported by the chips. However, not all combinations of packet length and MCS are possible. In particular, configurations where the transport block size exceeds 700 Bytes are not supported. B. Testbeds We test our link adaptation in two testbed environments. The indoors testbed is an office area with no line-of-sight (LOS), where the signal needs to travel through different rooms and is reflected by many objects. The Link adaptation testbed is an urban environment with LOS. The distance between transmitter and receiver is ≈ 15 m in the indoor testbed, ≈ 200 m in the outdoor testbed. As carrier frequency, DECT NR+ channel number 1657 (1881.792 MHz) is used. This is the first channel in the European DECT band. However, due to no interfering applications in this band in our testbed, the specific channel selection has only minor impact. V. O BJECTIVE F UNCTIONS FOR PARAMETER S ELECTION Identifying the most efficient parameter configuration can be formulated as a multi-objective optimization problem.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400 300 3.3 V 3.7 V 5.0 V 300 t1 t0 200 I [mA] I [mA] 250 150 100 200 100 50 0 0 -40 0 0.2 0.4 0.6 0.8 1 1.2 1.4 1.6 1.8 2 2.2 2.4 t [ms] Figure 3: Power profile of a TX operation (19 dBm, 3 slots, MCS 0) on a nRF9151 with 3.7 V supply voltage. -30 -20 -10 0 10 Transmit Power PT X [dBm] 20 Figure 4: Average current draw of the nRF9151 during transmit operation for different supply voltages. 3.5 A. Energy Consumption ET X = f (PT X , L) The objective function depends on the transmission power PT X and the packet length L. PT X influences the current draw during the transmit operation and L determines the duration. The energy per transmission is calculated by Z t1 ET X = QT X · U = I(t)dt · U. t0 For approximately constant current draw, we can estimate the charge drawn as QT X ≈ I · ∆t, where ∆t = t1 − t0 . Fig. 3 shows the power profile of a transmit operation on the nRF9151, at 3.7 V. We set transmit power PT X = 19 dBm and packet length Lslot = 3 slots. We measure a transmission duration of ∆t = 1.25 ms. This duration can also be derived analytically using T P ACKET = Lslot · Tslot . With slot duration Tslot = 0.41667 ms, the calculated transmission time precisely matches ∆t shown in Fig. 3. Fig. 4 illustrates the relationship between transmit power and average current consumption, measured across different supply voltages. At higher supply voltages, the current draw is reduced. However, from an energy efficiency standpoint, the impact of the chosen supply voltage remains relatively minor. For transmit powers up to PT X ≤ 8 dBm, the current remains stable between 60 mA and 70 mA. Beyond PT X ≥ 10 dBm, we observe a a sharp increase in current consumption. B. Data Rate 2.5 R [Mbit/s] The first objective is to minimize the energy per per transmitted frame. min ET X MCS 0 MCS 1 MCS 2 MCS 3 MCS 4 3 2 1.5 1 0.5 0 2 4 6 8 10 12 Packet Length L [Subslots] 14 16 Figure 5: Data Rates of DECT NR+ for different MCS (µ = 1, β = 1) and transport block sizes smaller than 700 B. The objective function depends on MCS and packet length L. Fig. 5 plots the data rate per packet length for different MCS. The values of R can be computed based on the formulas for TB from Section II-C. the transport block size Nbits R= TB Nbits P ACKET T For all MCS levels, we observe a steep increase in data rate when moving from 1 to 2 subslots. This is due to the significant overhead introduced by the PCC compared to the PDC. For MCS 0 to MCS 3, the data rate improves by approximately 0.5 Mbit/s, while MCS 4 achieves an additional gain of 1 Mbit/s over MCS 3. Finally, it is evident that the curves for MCS 2 to MCS 4 do not span the entire range of L, as these combinations would exceed the 700 B limit imposed by the nRF. C. Packet Delivery Ratio The second objective is to maximize the data rate. The third objective is to maximize the PDR. max R max PDR R = f (MCS, L) PDR = f (PT X , MCS)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The objective function depends on transmission power PT X and the MCS. There is no analytical expression for the objective function, as it depends on the current channel conditions. Therefore, an iterative approach to channel quality estimation is essential. The system must continuously refine its understanding of channel conditions through both active traffic measurements and dedicated pilot sequences. The estimation process involves multiple iterations where transmissions are made at various power levels and MCS configurations. Initially, measurements show significant variance, but as iterations increase, the PDR curves stabilize. This convergence typically requires 5 to 10 iterations with 100 packets per (PT X , MCS) configuration. As illustrated in Fig. 6, the PDR versus transmit power curves exhibit distinctly different characteristics between different environments. The indoor scenario, characterized by non-LOS conditions, produces a steep “waterfall” shape with a sharp transition between low and high PDR regions. This abrupt transition occurs due to multipath effects, signal reflections, and obstructions typical in indoor settings. In contrast, the outdoor testbed curves display a more gradual slope because of LOS conditions where primarily free space path loss affects signal propagation, resulting in a more gradual degradation of signal quality with distance. Not only is the shape of the curves different among the testbeds, the gap between distinct MCS levels also is. This paper focuses on on static networks, it is therefore important to acknowledge that channel conditions inevitably change over time. Iterative recreation of the PDR curves is crucial for channel quality estimation, and serves as the fundamental building block of parameter optimization frameworks. VI. A PARETO O PTIMALITY A PPROACH A. Algorithm For this multi-objective optimization problem, we apply the principle of Pareto optimality [7]. This widely recognized concept has also found significant application in areas such as multi-user communications engineering [8]. We define the parameter space P as the set of all valid transmission configurations: p = (PTX , L, MCS) ∈ P Each configuration p yields a performance vector: u(p) = (R(p), −ETX (p), PDR(p)) ∈ R3 The minus sign in the energy dimension ensures that all objectives are formulated as maximization problems. We define the multi-objective utility region as the union over all feasible configurations: K [ U≜ {uk } ⊆ R3 k=1 where K is the total number of valid combinations in P. A point u ∈ U is Pareto optimal if there exists no other point v ∈ U such that: v ≥ u and v ̸= u where the inequality is component-wise. In other words, no other configuration achieves better or equal performance in all objectives and strictly better in at least one. A point is called “weak” Pareto optimal if no other point is strictly better in all objectives: ̸ ∃v ∈ U such that v &gt; u The set of all Pareto optimal points forms the Pareto frontier of U, which represents the boundary of efficient trade-offs between the objectives. To compute the Pareto frontier in practice, we proceed as follows: 1) Enumerate all valid configurations pk from the parameter space P. 2) For each configuration, compute the corresponding utility vector uk . 3) Compare all utility vectors pairwise to identify nondominated points: • A point uk is dominated if there exists another point uj such that uj ≥ uk and uj ̸= uk . • All non-dominated points form the Pareto frontier. This brute-force approach is feasible due to the discrete nature of the DECT NR+ parameter space. For larger spaces, more efficient algorithms such as Pareto sorting or evolutionary multi- objective optimization are usually employed. B. Practical Evaluation Fig. 7 presents a visualization of the three-dimensional trade-off space for the outdoor LOS testbed. The plot shows the performance vector u for all possible operating points p in the parameter space P. The white triangle points represent the Pareto front, consisting of those configurations for which improving one objective necessarily degrades another. These Pareto-optimal points offer the most efficient operating conditions for different application requirements. Any point not on the Pareto front is “dominated”: there exists at least one configuration on the front that is superior in at least one objective and no worse in any other. The color scheme in Fig. 7 corresponds to the one in Fig. 6, and reveals how operating points corresponding to different MCS appear to be “stacked” along the data rate axis. For PDR values below 80%, the Pareto front is mostly formed by operating points using MCS 4. This is due to the higher number of bytes that can be transmitted per slot: shorter packet lengths compared to lower-order MCS can be used, resulting in a smaller energy per transmission. However, for a target PDR greater than 80%, lower MCS form the Pareto front. Also visible in Fig. 6, the performance in terms of PDR is very similar in the domain greater than -10 dBm for MCS 23 and MCS 0-1, respectively. This means that, due to the higher transport block size for the packet slot length, it is more efficient to choose MCS 1 instead of MCS 0 for instance. Authorized licensed use limited to: Hochschule Aalen (FH) - Technik und Wirtschaft. Downloaded on July 09,2026 at 09:09:35 UTC from IEEE Xplore. Restrictions apply. 6 IEEE Wireless Communications and Networking Conference (WCNC): WCNC 2026 Track 4: Emerging Technologies, Network Architectures, and Applicat 1 1 MCS 0 MCS 1 MCS 2 MCS 3 MCS 4 PDR 0.8 0.6 0.4 0.2 0 -40 -30 0.8 0.6 0.4 0.2 -20 -10 0 PT X [dBm] 10 20 0 -40 -30 -20 -10 0 PT X [dBm] 10 20 R [Mbit/s] Figure 6: PDR per TX Power for non-LOS indoor testbed scenario (left) and LOS outdoor testbed (right). 2 0 2 0.2 0.4 0.6 0.8 1 1 PDR ET X [mJ] Figure 7: Pareto front (triangles) of operating points for the LOS outdoor testbed. The choice of the operating point on the Pareto front depends on user requirements. We define the subset F ⊆ U as F = {u ∈ F | PDR ≥ PDRreq , ET X ≤ ET X,req , R ≥ Rreq }. In a Low-Power and Lossy Network (LLN), typical requirements may be PDRreq = 90% and ET X,req = 0.5 mJ. When additionally requiring a data rate of at least Rreq = 1.5 Mbit/s, the Pareto front for the outdoor testbed reduces to 4 values. A Pareto optimal operating point may therefore be poutdoor = (PTX = 16 dBm, Lslot = 2, MCS = 3). When setting the same requirements for the indoor testbed, the Pareto optimal operating points mainly belong to even MCS 4. A beneficial operating point according to this Pareto optimality approach is therefore pindoor = (PTX = 10 dBm, Lslot = 3, MCS = 4). To this end, we remark that we set the user requirements for the needs of LLNs. For high throughput applications, the optimal operating points may be different. DECT NR+ can also be employed as LPWAN, covering distances going beyond the investigated 200 m LOS. For those scenarios, higher order MCS struggle to establish reliable communication and therefore the optimal configuration will necessarily tend to MCS 0. VII. C ONCLUSION This work applies Pareto optimality for link adaptation in the DECT NR+ standard. The relationship between transmit parameters is analyzed through both theoretical considerations and experimental validation. By analyzing the trade-off between data rate, energy consumption and PDR, efficient operating points are identified. Our current research focuses on integrating dynamic environmental factors into the optimization model and developing advanced adaptive algorithms for real-time parameter adjustment, leveraging the provided feedback information field. As part of future work, we roll this analytical work into a practical Application Performance Management (APM) framework.</t>
  </si>
  <si>
    <t xml:space="preserve">To model specific relationships, we conduct practical experiments in two real- world testbeds using hardware from the Nordic nRF91 series. Finally, we present an approach for parameter selection based on the principle of Pareto optimality. I. I NTRODUCTION As 5G networks continue to expand, the International Mobile Telecommunications (IMT-2020) requirements define ambitious targets for a wide range of application scenarios, with increasing influence extending also into the Internet of Things (IoT) domain [1]. While enhanced mobile broadband (eMBB) services have been successfully implemented in 3GPP 5G New Radio (NR) systems, and massive machine-type communication (mMTC) is being addressed through cellular IoT solutions like LTE-M or NB-IoT. ultra-reliable low-latency communication (URLLC) IoT services still remains a significant challenge [2]. DECT-2020 NR has emerged as a standardized 5G technology specifically designed for mMTC and URLLC applications, operating in the license-exempt 1.9 GHz band utilized by legacy Digital Enhanced Cordless Telecommunications (DECT) phones. This DECT-2020 NR standard, also referred to as DECT NR+, is announced as the first noncellular 5G standard [3]. DECT NR+ positions itself in the IoT landscape in a gap between traditional Wireless Personal Area Network (WPAN), Wi-Fi and Low Power Wide Area Network (LPWAN). DECT NR+ offers significantly higher data</t>
  </si>
  <si>
    <t xml:space="preserve">The experiments identify environment-specific Pareto-optimal MCS, power, and packet-length combinations that outperform fixed parameter choices.</t>
  </si>
  <si>
    <t xml:space="preserve">Combines analytical objective functions and two real-world Nordic nRF91 testbeds to derive Pareto-optimal DECT NR+ link-adaptation settings for data rate, energy, and PDR.</t>
  </si>
  <si>
    <t xml:space="preserve">Static indoor/outdoor links and a limited vendor parameter set are considered; real-time adaptation, mobility, interference, and network-level effects are not evaluated.</t>
  </si>
  <si>
    <t xml:space="preserve">Commercial DECT NR+ devices expose many configurable parameters but lack a systematic link-adaptation strategy based on measured multi-objective trade-offs.</t>
  </si>
  <si>
    <t xml:space="preserve">Evaluation verified: Experimental/Testbed; Analytical/Modeling. The paper combines theoretical/Pareto analysis with experiments in two real-world testbeds using Nordic nRF91 hardware.</t>
  </si>
  <si>
    <t xml:space="preserve">Graf et al. - 2026 - A Pareto Optimality Approach for Link Adaptation in DECT NR+.summary.pdf</t>
  </si>
  <si>
    <t xml:space="preserve">Develop real-time adaptive algorithms using feedback information and integrate the method into an application-performance-management framework.</t>
  </si>
  <si>
    <t xml:space="preserve">What to Expect When Using DECT NR+</t>
  </si>
  <si>
    <t xml:space="preserve">DECT NR+ is the new kid on the block in wireless technologies: it re-purposes the 1.9 GHz Digital Enhanced Cordless Telecommunications (DECT) standard for IoT-type applications. How does DECT NR+ perform in practice and where should we be using it? The ambition of this article is to provide answers to those questions. We start by an overview of the fundamental principles of the physical layer. We then survey the DECT NR+ products on the market today. Using the nRF91 series from Nordic Semiconductor, we conduct a comprehensive set of hands-on power consumption and communication range measurements. Our results place DECT NR+ in a gap in-between existing technologies. Its range is comparable to long range standards such as IEEE 802.15.4g under certain parameter choices: 200 m in an urban setting, 6 km in the most favorable lineof-sight conditions. For higher order Modulation and Coding Schemes, range drops and is rather comparable to Wi- Fi. The nRF9161 draws significant power (at 3.7 V, 220 mA transmitting at +19 dBm, 45 mA receiving), approximately 10× higher than BLE radios. This is likely primarily due to earlystage design inefficiencies and the inherent complexity of the DECT NR+ physical layer, limiting its adoption in batterypowered applications. We conclude that DECT NR+ is particularly appropriate for applications that require a dynamic tradeoff between communication range and data rate, but are not cost-sensitive.</t>
  </si>
  <si>
    <t xml:space="preserve">Wireless connectivity is at the heart of Internet of Things (IoT) applications, allowing devices to communicate without the constraints of a wired infrastructure. The scope of 5G standardization has expanded into IoT applications [1]. While cellular 5G networks are well-suited for high-bandwidth and lowlatency use cases, their infrastructure-heavy nature and operational costs make them less ideal for widespread IoT deployment, especially in industrial and private networks. To bridge the gap between traditional cellular and unlicensed wireless IoT solutions, DECT-2020 NR, also known as “DECT NR+”, is announced as “the first non-cellular 5G standard” officially recognized by the International Telecommunication Union Radiocommunication Sector (ITU-R). The promise is that DECT NR+ avoids costly contracts and dependencies associated with licensed bands, unlike cellular technologies such as 5G NR, LTE-M or Narrowband IoT (NB-IoT). DECT NR+ is specified by European Telecommunications Standards Institute (ETSI) ISSN: 0163-6804 Digital Object Identifier: 10.1109/MCOM.001.2500286 16 and designed to support the ultra-reliable lowlatency communication (URLLC) [2] and massive machinetype communication (mMTC) pillars of 5G [3]. One of its key features is its operation in the 1.9 GHz license-free frequency band, traditionally reserved for Digital Enhanced Cordless Telecommunications (DECT) phones, offering the advantage of minimal external interference. DECT NR+ potentially</t>
  </si>
  <si>
    <t xml:space="preserve">Measured range varies from roughly 200 m urban to 6 km favorable LoS, while transmit and receive currents are substantially higher than typical BLE radios.</t>
  </si>
  <si>
    <t xml:space="preserve">Provides a market and PHY overview together with hands-on DECT NR+ range and power measurements using Nordic nRF91 devices.</t>
  </si>
  <si>
    <t xml:space="preserve">Results are tied to an early Nordic implementation and selected environments; cost, mesh behavior, complete latency, coexistence, and multi-vendor interoperability are not assessed.</t>
  </si>
  <si>
    <t xml:space="preserve">Practitioners lacked an independent, measurement-based guide to where current DECT NR+ products fit among Wi-Fi, BLE, and LPWAN technologies.</t>
  </si>
  <si>
    <t xml:space="preserve">Evaluation verified: Experimental/Testbed; Survey/Overview. The article surveys products and PHY principles, then performs hands-on power and range measurements with nRF91 hardware.</t>
  </si>
  <si>
    <t xml:space="preserve">Graf et al. - 2026 - What to Expect When Using DECT NR+.summary.pdf</t>
  </si>
  <si>
    <t xml:space="preserve">Repeat measurements with mature multi-vendor hardware and evaluate mesh scalability, energy optimizations, mobility, and interference.</t>
  </si>
  <si>
    <t xml:space="preserve">DECT-2020 NR Link Distance Performance in</t>
  </si>
  <si>
    <t xml:space="preserve">—Digital Enhanced Cordless Telecommunications 2020 New Radio (DECT-2020 NR) has garnered recognition as an alternative for cellular 5G technology in the internet of things industry. This paper presents a study centered around the analysis of the link distance performance in varying environments for DECT-2020 NR. The study extensively examines and analyzes received signal strength indicator and resulting path loss values in comparison with theoretical models, as well as packet success rates (SR) and signal-to-noise ratio against varying distances. The measurements show that with an SR of over 90 %, an antenna height of 1.5 m, indoor link distances with a single device-to-device connection with 0 dBm transmission (TX) power can reach over 60 m in non-line-of-sight (NLOS) areas and up to 190 m in LOS areas with smaller −8 dBm TX power. Similarly, for outdoor use cases, link distances of over 600 m can be reached with +19 dBm TX power. Authorized licensed use limited to: Hochschule Aalen (FH) - Technik und Wirtschaft. Downloaded on February 25,2026 at 12:29:47 UTC from IEEE Xplore. Restrictions apply. 1) Free Space Path Loss Model: The basic and most well- level (m), αhm is a city size dependent variable, and Cm is known model for the attenuation of the transmitted signal’s 0 dB for suburban or open environments and 3 dB for urban power between two antennas through free space with a direct environments. line of sight (LOS) between the transmitter and receiver is called the free space path loss (FSPL). The FSPL equation can B. Empirical Path Loss Empirical PLs were calculated using the formula below to be written as [6]: compare with the theoretical PL values for the corresponding 4π FSPL (dB) = 20 log10 (d) + 20 log10 (f ) + 20 log10 , scenarios. The empirical PL formula is defined as: c (1) PLemp (dB) = Ptx − Prx + Gtx − Ltx + Grx − Lrx , (7) where d is the distance between antennas (m), f is frequency where Ptx is the transmission power of TX (dBm), Prx is the of the signal (Hz), and c is speed of light (m/s). 2) 3GPP TR 38.901 Path Loss Model: 3GPP technical receiving power of RX (dBm), Gtx is the TX antenna gain report version 38.901 focuses on frequencies ranging from (dB), Ltx is the TX side connector losses (dB), Grx is the RX 0.5 GHz to 100 GHz. In this model, indoor office environments antenna gain (dB), and Lrx is the RX side connector losses and shopping malls are referred to as InH, indoor factories (dB). containing heavy machinery, assembly lines, and varying III. DATA ACQUISITION AND A SSESSMENT densities of clutter are referred to as InF. The two most relevant equations for this study from this model are the following [7]: A. Equipment Details PLInH-LOS (dB) = 32.4 + 17.3 log(d) + 20 log(fc ), and (2) PLInF-LOS (dB) = 31.84 + 21.50 log(d) + 19 log(fc ), (3) where d is defined as the distance between the antenna and the measurement point (m) and fc is the carrier frequency (GHz). 3) Two-Ray Ground Reflection Model: Two-ray groundreflection model accounts for both the direct signal path and the signal reflected off the ground. The equation stands as below [8]: PL (dB) = 40 log10 (d) − 10 log10 (Gh2t h2r ), For analyzing the propagation effects, pre-commercial devices have been utilized. These devices, model nRF9131 as shown in Fig. 1, were manufactured by Nordic Semiconductor and support the new DECT-2020 NR standard [11]. Nordic Semiconductor’s proprietary software was employed to command and control these devices. Once the devices were set up for a link distance measurement, data was collected and stored for post-processing. (4) where d is the distance between the transmitter (TX) and receiver (RX), ht is the height of the TX, hr is the height of the RX, and G is the combined TX-RX antenna gain. 4) Okumura-Hata Model: The Okumura-Hata model is particularly well-suited for urban environments with numerous buildings with relatively few tall obstructions. The model is formulated as follows[9]: LU (dB) = 69.55 + 26.16 log10 (f ) − 13.82 log10 (hB ) − CH +[44.9 − 6.55 log10 (hB )] log10 (d). (5) (a) (b) Fig. 1. a) The utilized nRF9131 board and b) Hallila power line measurement scenario. where LU is PL in urban areas (dB), f is the utilized frequency (MHz), hB is the height of the base station antenna (m), CH is antenna height correction factor, and d is the distance between B. Measurement Setup the base station and mobile station (km). 5) COST-231 Hata Model: The COST-231 Hata model is A point-to-point connection was employed for measuring applicable in the frequency range of 500 MHz to 2000 MHz. average received signal strength indicator (RSSI), path loss The basic equation for PL in dB is given by [10]: (PL), signal-to-noise ratio (SNR) and success rate (SR) by PL (dB) = 46.3 + 33.9 log10 (f ) − 13.82 log10 (hb ) − αhm + collecting 300 measurement samples (one sample per second) at each location point. Both the TX and RX were mounted [44.9 − 6.55 log10 (hb )] log10 (d) + Cm , on separate tripods to achieve stationary positions and desired (6) heights. Moreover, antennas were connected to both of the dewhere f is the utilized frequency (MHz), d is the distance vices as shown in Fig. 1. These Pulselarsen W5095X antennas between access points (AP) and customer premises equipment are vertically polarized, omnidirectional blade antennas. (CPE) antennas (km), hb is the AP antenna height above For all indoor distance measurements, a laser distance meter ground level (m), hm is the CPE antenna height above ground was employed to precisely measure the distance between the Authorized licensed use limited to: Hochschule Aalen (FH) - Technik und Wirtschaft. Downloaded on February 25,2026 at 12:29:47 UTC from IEEE Xplore. Restrictions apply. TX and RX devices. In outdoor scenarios, online mapping tools were utilized to determine the distances between the devices by utilizing GPS coordinates measured at both ends with a common smart phone. RSSI data from the RX, along with cyclic redundancy check (CRC) success and failure counts, were independently recorded and stored. Lastly, MATLAB software was employed to process the data from these files. C. Data Assessment Procedure 1) Received Signal Strength Indicator and Signal to Noise Ratio Calculation: Following the acquisition of each dataset, the RSSI levels for both PCC and PDC were systematically organized. MATLAB script was subsequently employed to compute key statistical parameters, including the mean, standard deviation, maximum, and minimum values. The RSSI and SNR measurements, initially recorded in logarithmic scales, underwent a conversion process to linear scale to facilitate average value calculations, before being reconverted to logarithmic scale. This methodical approach was applied to the raw data (RSSI and SNR data sets) for each measured distance, ensuring a comprehensive representation of signal characteristics across varying spatial parameters. Furthermore, this average RSSI value in logarithmic form is subtracted from the transmitted power, while internal and connector losses along with TX-RX gains (total 1 dB per side) are added to compute the empirical PLs, according to (7). The measurements were conducted using omnidirectional antennas, which closely align with the assumptions made in the propagation models considered in this study. 2) Success Rate Analysis: In the measurement process, the device utilized a continuous reception method without implementing any re-transmission mechanism for packet error correction. Instead, CRC was employed as the primary means of error detection. The ‘CRC Okay Count’ served as central metric, enabling the quantification of successfully received packets that passed the error detection process. SRs were quantified as percentages, utilizing formulas below: PCC CRC Okay Count × 100 (8) SR PCC = Request Count PDC CRC Okay Count SR PDC = × 100 (9) Request Count Finally, RSSI values, both theoretical and empirical PL equations and SRs were visualized through distinct curves plotted against distance. This meticulous data collection and analysis approach provided in-depth insights into the performance characteristics and reliability of the studied devices, while also offering valuable information about their applicability in various indoor and outdoor scenarios. D. Data Collection from Measurement Scenarios Link distance measurements were carried out at various sites situated at Tampere, Finland, to collect the data. These sites can be categorized as indoor and outdoor locations. Indoor measurements were conducted at Tampere University Hervanta campus (buildings “Konetalo” and “Rakennustalo”) and Valmet Oy industry premises. Outdoor locations included various sites and areas around Tampere University, Ahvenisjärvi, Opiskelijankatu, Hallila, Kangasala, and Kaukajärvi, encompassing urban, sidewalk, forested, and lakeside environments. The general and DECT-2020 NR specific parameters considered for the measurements are shared in Table I. TABLE I C ONSIDERED PARAMETERS FOR DECT-2020 NR LINK - LEVEL MEASUREMENTS Parameter Payload length (in slots) Modulation and Coding Scheme (MCS) Successive Packet Transmission Interval DECT-2020 Channel TX Power Node Height above Ground Level Antenna Gain Carrier Frequency Channel Bandwidth Value 4 1&amp;4 1s 1677 &amp; 1667 −20 dBm, 0 dBm, +19 dBm 1.5 m 1.07 dB ± 1 dB 1899 MHz 1.728 MHz IV. R ESULTS AND A NALYSIS To ensure reliable communication and satisfactory performance of the devices under examination, the SR is required to exceed 90 %. This is considered a good threshold for a well-performing single-link connection when considering only one-hop and targeting maximum distance, without introducing an extensive amount of re-transmission in the link. In fact, 10 % packet error rate is the typical assumption in wireless data networks such as Long Term Evolution (LTE) [12]. Although a typical DECT-2020 NR mesh network is expected to consist of a large number of nodes enabling longer end-to-end distances with multiple hops, it can still guarantee up to 100 % SR by enabling link-specific re-transmission using HARQ for any packet error occurring in a link. In order to help to analyse and visualize the results, nonlinear least squares (NLS) curve fitting was also applied to the measurement data for logarithmic scale PL values versus distance graphs. This was utilized, when several distances were measured in one location. A. Minimum Transmission Power Requirements A crucial parameter for long-term device deployment is minimizing TX power while maximizing range, which optimizes battery life. Additionally, utilizing optimum TX power reduces interference in the spectrum, improving system capacity and co-existence with other systems [13]. To elucidate these powerdistance relationships across various propagation scenarios, Table II and Table III present a comprehensive summary of the minimum power requirements necessary to achieve maximum communication distances under the condition of reliable communication. Authorized licensed use limited to: Hochschule Aalen (FH) - Technik und Wirtschaft. Downloaded on February 25,2026 at 12:29:47 UTC from IEEE Xplore. Restrictions apply. TABLE II M INIMUM TRANSMISSION POWER REQUIREMENTS FOR RELIABLE 90 COMMUNICATION AT MAXIMUM DISTANCE IN INDOOR SCENARIOS Propagation Type LOS LOS LOS LOS NLOS NLOS NLOS NLOS Maximum Distance Measured (m) 40 120 137 190 10.71 61 61 111 Minimum TX Power Required (dBm) −20 0 0 −8 0 0 0 +19 TABLE III 85 80 70 Location Kampusareena and Main Building Outdoors (5) Ahvenisjärvi Football Ground (6) Ahvenisjärvi Forest (7) Opiskelijankatu Sidewalk (8) Hallila Power Line (9) Kaukajärvi Lake Kangasala Observation Tower Devices Located at / Separated By Free-Space Free-Space Forest and Lake Walking Bridge Free-Space Lake Terrain Maximum Distance Measured (m) 40 205 265 610 650 2294 2470 65 60 55 M INIMUM TRANSMISSION POWER REQUIREMENTS FOR RELIABLE COMMUNICATION AT MAXIMUM DISTANCE IN OUTDOOR SCENARIOS Propagation Type LOS LOS NLOS LOS LOS LOS LOS (1) (PCC) (1) (PDC) (1) (PCC) - NLS fit (1) (PDC) - NLS fit (2) (PCC) (2) (PDC) (2) (PCC) - NLS fit (2) (PDC) - NLS fit (3) (PCC) (3) (PDC) (3) (PCC) - NLS fit (3) (PDC) - NLS fit (4) (PCC) (4) (PDC) (4) (PCC) - NLS fit (4) (PDC) - NLS fit FSPL 3GPP TR 38.901 InH-LOS 3GPP TR 38.901 InF-LOS 75 Path Loss (dB) Location Konetalo 2nd Floor (1) Rakennustalo 2nd Floor (2) Valmet Office (3) Valmet Factory (4) Konetalo Inter-floors Valmet Office Valmet Office Valmet Office Devices Located at / Separated By Straight Corridor Straight Main Corridor Straight Main Corridor Long Factory Area Concrete Floors (three floors) Brick Wall &amp; Glass Brick Wall, Glass and Cubicles Circular Main Corridor 50 Minimum TX Power Required (dBm) −20 −8 +16 +19 +19 +19 +19 45 40 35 0 20 40 60 80 100 120 Distance (m) Fig. 2. PL versus distance in indoor scenarios for TX = −20 dBm. Site labels correspond to Table II locations. RSSI standard deviation: 0.34–4.17 dB. B. PL versus Distance 140 120 (5) (PCC) (5) (PDC) (6) (PCC) (6) (PDC) (6) (PCC) - NLS fit (6) (PDC) - NLS fit (7) (PCC) (7) (PDC) (8) (PCC) (8) (PDC) (8) (PCC) - NLS fit (8) (PDC) - NLS fit (9) (PCC) (9) (PDC) (9) (PCC) - NLS fit (9) (PDC) - NLS fit FSPL 2-Ray Ground Reflection Okumura-Hata Cost-231 Hata (Urban) 100 Path Loss (dB) Fig. 2 illustrates empirical PL against distance for various indoor corridor LOS scenarios. Konetalo 2nd floor corridor consistently has the lowest PL, staying below 3GPP TR 38.901 InH-LOS threshold. Valmet factory corridor shows highest PL among all, but exhibits a moderate PL compared to InF-LOS model. Moreover, Fig. 3 illustrates PL and distance relationship for various environments at outdoors LOS for 19 dBm TX power. The heights of the TX and RX have been designated as 10 m and 1.5 m respectively for the theoretical models. Ahvenisjärvi football ground showed a very close performance with the FSPL curve, whereas Opiskelijankatu sidewalk exhibited one of the highest PLs indicating impact of multipath propagation due to pedestrians and live vehicular traffic as well as more vegetation along the road. Kampusareena-Mainbuilding outdoor scenario showed notable variation in PL values as the devices are located between two buildings and Kampusareena is metal coated. Therefore, the signal got reflected very well from the buildings and showed tunneling effect in guiding the signal well between the closely located buildings. Under Hallila power lines, the link distance is very similar to the Opiskelijankatu sidewalk case. Ahvenisjärvi forest PL remained highest in comparing with other scenarios of the same distance due to the presence of a thick forest. However, all measured scenarios consistently showed lower PL than the Okumura-Hata and COST-231 Hata models predict at all distances and higher PL than FSPL model predicts after 100 m distance. The outdoor LOS measurements were performed with 19 dBm TX power to assess device performance at maximum distances with different heights, as shown in Table IV. Kangasala observation tower outperformed other sites, but this is due to its considerable height advantage (TX-RX height difference is 52.6 m). Excluding height differences, Kaukajärvi lake showed favorable propagation conditions over water, as one might expect. All measured scenarios exhibited significantly lower PL than the two models Okumura-Hata and COST-231 Hata predicted, which is due to the more pessimistic nature of these models. 80 60 40 20 100 200 300 400 500 600 Distance (m) Fig. 3. PL versus distance in outdoor scenarios for TX = +19 dBm. Site labels correspond to Table III locations. RSSI standard deviation: 0.59–2.75 dB. TABLE IV PL FOR DIFFERENT ( MAXIMUM ) LINK DISTANCES AT OUTDOORS . Scenario Hallila Power Line Kaukajarvi Lake Kangasala Tower Distance (m) 650 2294 2470 Height Difference (m) 11.58 1 52.6 Empirical PL PCC (dB) 110.56 120.38 113.70 Empirical PL PDC (dB) 110.84 120.61 113.96 FSPL (dB) 99.55 105.16 105.83 2-Ray Model PL (dB) 91.63 115.00 96.93 Okumura Hata Model PL (dB) 139.44 144.50 COST-231 Hata Model PL(dB) 145.60 149.67 C. SR &amp; SNR versus RSSI In this section, SR and SNR are simultaneously analyzed as a function of RSSI. From Fig. 4 and Fig. 5, it can be summarised that across all indoor and outdoor environments, SR consistently exceeded 90 % when RSSI values remained above −90 dBm for indoors and above −95 dBm for outdoors, demonstrating the capability to perform well even with weaker signal power levels. The comparison of SNR to RSSI shows a more gradual increase compared to the sharp rise in the case of SR versus Authorized licensed use limited to: Hochschule Aalen (FH) - Technik und Wirtschaft. Downloaded on February 25,2026 at 12:29:47 UTC from IEEE Xplore. Restrictions apply. 30 90 27 80 24 70 21 60 18 50 15 40 12 30 9 20 6 SR SNR 10 0 -110 -100 -90 -80 -70 RSSI (dBm) -60 SNR (dB) SR (%) 100 3 0 -40 -50 100 30 90 27 80 24 70 21 60 18 50 15 40 12 30 9 20 6 SR SNR 10 0 -110 -100 -90 -80 RSSI (dBm) -70 -60 SNR (dB) SR (%) Fig. 4. SR and SNR as a function of RSSI at all indoor scenarios. 3 0 -50 Fig. 5. SR and SNR as a function of RSSI at all outdoor scenarios. RSSI. Generally, SRs surpassed 90 % when SNR values reached around 11 dB to 12 dB for indoors and around 12 dB to 15 dB for outdoors. SR data points cluster heavily near 100 % for stronger RSSI values, indicating excellent performance, while SNR values spread more, especially at stronger RSSI levels. V. C ONCLUSIONS This paper presented a measurement-based study for practical DECT-2020 NR link distances in indoor and outdoor scenarios with pre-commercial equipment. The maximum one-hop link distance communication ranges were determined for diverse outdoor settings, including open fields, forests, urban areas, terrains and over water surfaces. The measurements show that with an SR of over 90 % and TX power ranging from −20 dBm to 0 dBm, the indoor LOS distances range from 40 m to 190 m and for NLOS use cases a distance of over 60 m can be reached with 0 dBm TX power. For outdoor use cases, with the maximum TX power of 19 dBm, link distances of around 600 m can be reached in LOS environment with low device heights. With deploying devices higher e.g. light poles, roofs or masts, significantly longer distances can be achieved as demonstrated by measurements done at Kangasala observation tower. The indoor scenarios PL characteristics predominantly aligned with the 3GPP TR 38.901 InH- LOS model, which can be stated as the most suitable model for the measurements. The predominant deployment of devices at similar heights in outdoors indicates the need for a more sophisticated theoretical model to be considered as the most suitable model. With the achieved link distance results, it can be concluded that indoor networks can be realized with small TX powers enabling, for example, battery operated networks to function for a long time. Furthermore, large outdoor areas can be covered with suitable link distances, that is, having up to several hundred meters between the nodes, when node installation height is only 1.5 m, enabling reduction of network installation and maintenance cost compared to high mass deployments typically used in LPWAN or cellular technologies. The results of this study advance both device performance under DECT-2020 NR communication protocols while providing insights into IoT-enabled systems’ propagation characteristics. The findings not only show the devices’ readiness for industrial deployment in smart metering, electricity network QoS monitoring and industrial facility condition monitoring, as well as smart building and smart city applications, but also establish benchmarks for evaluating performance across various environmental conditions.</t>
  </si>
  <si>
    <t xml:space="preserve">namely physical control channel (PCC) I. I NTRODUCTION and physical data channel (PDC) [5]. The PCC provides a In the current era of the internet, humanity has witnessed control channel for MAC that can indicate short network ID, an unprecedented level of interconnections. The growth of transmitter and receiver IDs of the transmission and used limited-range networks and the expansion of devices connected transmission parameters of the PDC. Transmission parameters to these networks have led to a continuous interconnection include transmission power, modulation and coding scheme between devices. This interconnection enables devices to collect (MCS), transmission length, number of spatial streams, and and distribute information through a series of communication redundancy versions. Furthermore, PCC encompasses hybrid processes, often involving minimal or no human intervention automatic repeat request (HARQ) feedback channel quality [1]. These devices are embedded with intelligence and commu- indicator (CQI), and codebook index for MIMO transmissions. nication capabilities, including sensors, cellphones, vehicles, The PDC then contains the MAC PDU, containing the MAC household devices, and medical equipment. This transformation protocol data and control units as defined in [5]. has led to the emergence of the internet of things (IoT), marking In this paper, radio propagation models are first</t>
  </si>
  <si>
    <t xml:space="preserve">Reliable links exceed 60 m indoor NLoS and about 600 m outdoor LoS at low antenna heights, with longer distances possible from elevated sites.</t>
  </si>
  <si>
    <t xml:space="preserve">Establishes empirical DECT-2020 NR path-loss, RSSI, SNR, success-rate, and distance benchmarks across diverse indoor and outdoor environments using nRF9131 devices.</t>
  </si>
  <si>
    <t xml:space="preserve">Measurements use stationary point-to-point links, one hardware family, limited antenna configurations, and no mesh or interference traffic.</t>
  </si>
  <si>
    <t xml:space="preserve">Practical propagation and maximum one-hop distance data for DECT-2020 NR across realistic environments were scarce.</t>
  </si>
  <si>
    <t xml:space="preserve">Evaluation verified: Experimental/Testbed; Analytical/Modeling. The work performs real indoor/outdoor measurements and compares them with analytical propagation models.</t>
  </si>
  <si>
    <t xml:space="preserve">Haque et al. - 2025 - DECT-2020 NR Link Distance Performance in Varying Environments Models and Measurements.summary.pdf</t>
  </si>
  <si>
    <t xml:space="preserve">Develop refined propagation models and evaluate mobility, seasonal/environmental variation, interference, antenna diversity, and multi-hop deployments.</t>
  </si>
  <si>
    <t xml:space="preserve">PHY; MAC; Routing/Mesh; Positioning/Localization; Security/Multi-RAT; Industrial/Testbed/Application</t>
  </si>
  <si>
    <t xml:space="preserve">Unmanned Aerial Vehicle (UAV) technology is rapidly growing in many fields, such as security, rescue operations, and delivery systems. However, it is important to remember that these UAVs require reliable connectivity in order to work efficiently. As for this thesis, a detailed study is made to understand the capabilities or, in other words, the performance of Digital Enhanced Cordless Telecommunications New Radio (DECT 2020 NR) radio access technology for UAV connectivity. DECT 2020 NR is a roadmap for the future advancement of wireless communication systems that seek to address the increasing demands need for faster data speed and frequent communication in different settings. The link budget analysis is seen and used as one of the critical fundamentals of determining wireless communication systems’ ability to meet general design specifications and performance while using the available resources fully and effectively. The research encompasses examining multiple frequencies and modulation schemes to determine their impact on communication performance. The study aims to identify optimal configurations that ensure reliable connectivity by simulating various conditions. Key parameters considered in the analysis include transmitter power, antenna gains, system losses, and environmental factors influencing path loss. The outcome of this thesis indicates that the lower frequency bands like 915 MHz are more effective for long distance communication due to low path loss while the higher frequencies like 1.89 GHz, 3.5 GHz suffer from high path loss and is more suitable for short range transmission. Key words: UAVs, DECT 2020 NR+. CONTENTS ABSTRACT CONTENTS FOREWORD ABBREVIATIONS</t>
  </si>
  <si>
    <t xml:space="preserve">................................................................................ ............................ 6 1.1 Research objectives ......................... ........................................................................ 6 1.2 Thesis structure................................................................ ........................................ 7 2 DECT 2020 TECHNOLOGY .............. ............................................................................. 8</t>
  </si>
  <si>
    <t xml:space="preserve">The analysis finds lower frequencies such as 915 MHz more suitable for long range, while 1.89 and 3.5 GHz incur higher path loss and favor shorter links.</t>
  </si>
  <si>
    <t xml:space="preserve">Analyzes DECT NR+ UAV connectivity through link-budget modeling across frequencies, modulation schemes, power, antenna gain, and environmental loss.</t>
  </si>
  <si>
    <t xml:space="preserve">The thesis relies on simulation/link-budget calculations without flight tests, dynamic aerial channels, interference, or regulatory deployment validation.</t>
  </si>
  <si>
    <t xml:space="preserve">The suitability and parameter choices of DECT NR+ for UAV communication had not been systematically analyzed.</t>
  </si>
  <si>
    <t xml:space="preserve">Evaluation verified: Simulation; Analytical/Modeling. The thesis identifies configurations by simulating frequencies and modulation schemes and uses link-budget analysis.</t>
  </si>
  <si>
    <t xml:space="preserve">Jahangir - 2024 - Analysis of the performance of DECT NR+ radio access technology for the connectivity of unmanned aer.summary.pdf</t>
  </si>
  <si>
    <t xml:space="preserve">Conduct UAV flight experiments and study mobility, Doppler, altitude, antenna orientation, handover, energy, and multi-UAV networking.</t>
  </si>
  <si>
    <t xml:space="preserve">Bridging Light and Radio: Hybrid Network</t>
  </si>
  <si>
    <t xml:space="preserve">PHY; MAC; Routing/Mesh; Positioning/Localization; Security/Multi-RAT</t>
  </si>
  <si>
    <t xml:space="preserve">The massive scale and dense deployments of future Internet of Things (IoT), particularly within the 6G framework, expose the critical limitations of traditional Radio Frequency (RF) systems, namely spectral congestion, interference, and security vulnerabilities. Optical Wireless Communication (OWC) oﬀers a compelling complement, providing vast, unlicensed spectrum, immunity to RF interference, and enhanced physical-layer security. However, OWC's susceptibility to blockages and limited mobility hinders its standalone deployment, as it cannot, on its own, meet the stringent connectivity and mobility requirements of many IoT applications. This article explores the convergence of optical and radio networks and proposes a ﬂexible, adaptable, and resilient connectivity framework tailored for modern IoT ecosystems. We present a holistic system architecture that integrates single-mode RF, single-mode OWC, and uniﬁed hybrid Access Points (APs) to eﬃciently manage the diverse and often conﬂicting objectives of various IoT applications. While these hybrid RF/OWC APs oﬀer signiﬁcant advantages in cost, eﬃciency, and coordinated management, they also introduce a primary deployment challenge: the inherent coverage mismatch between the two technologies. To precisely address this critical issue, we demonstrate a practical solution supported by a coverage equivalence analysis to validate the proposed framework. This analysis quantiﬁes the required OWC transmitter density to match a given RF range, oﬀering tangible guidance for system planning.</t>
  </si>
  <si>
    <t xml:space="preserve">While these hybrid RF/OWC APs oﬀer signiﬁcant advantages in cost, eﬃciency, and coordinated management, they also introduce a primary deployment challenge: the inherent coverage mismatch between the two technologies. To precisely address this critical issue, we demonstrate a practical solution supported by a coverage equivalence analysis to validate the proposed framework. This analysis quantiﬁes the required OWC transmitter density to match a given RF range, oﬀering tangible guidance for system planning. Keywords communication, networking and broadcast technologies, hybrid network architecture, internet of things, optical wireless communication Posted on 1 December 2025 — CC-BY 4.0 — This is a preprint and has not been peer reviewed. Data may be preliminary. — https:// doi.org/10.36227/techrxiv.176462964.43051246/v1 1 Bridging Light and Radio: Hybrid Network Architectures for IoT in the 6G Era Mohammad Khalili∗ , Amila Perera∗ , Juha Häkkinen† , Marcos Katz∗ , and Konstantin Mikhaylov∗ ∗ Centre for Wireless Communications, University of Oulu, Oulu, Finland {mohammad.khalili, malalgodage.perera, marcos.katz, konstantin.mikhaylov}@oulu.fi † Circuits and Systems Research Unit (CAS), University of Oulu, Oulu, Finland juha.hakkinen@oulu.fi Abstract—The massive scale and dense deployments of future Internet of Things (IoT), particularly within the 6G framework, expose the critical limitations of traditional Radio Frequency (RF) systems, namely spectral congestion, interference, and</t>
  </si>
  <si>
    <t xml:space="preserve">The coverage-equivalence analysis quantifies the optical-transmitter density required to match a target RF coverage range.</t>
  </si>
  <si>
    <t xml:space="preserve">Proposes a hybrid RF/optical IoT architecture and derives coverage-equivalence guidance for deploying unified access points in future 6G systems.</t>
  </si>
  <si>
    <t xml:space="preserve">This is a conceptual/analytical preprint, not a DECT-specific implementation, and lacks end-to-end experimental validation.</t>
  </si>
  <si>
    <t xml:space="preserve">RF-only systems face congestion and security concerns, while optical links suffer blockage and mobility limitations; coordinated hybrid planning remains underdeveloped.</t>
  </si>
  <si>
    <t xml:space="preserve">Evaluation verified: Analytical/Modeling; Survey/Overview. The paper proposes an architecture and coverage-equivalence analysis; it is conceptual/analytical rather than testbed-based.</t>
  </si>
  <si>
    <t xml:space="preserve">Khalili et al. - Bridging Light and Radio Hybrid Network Architectures for IoT in the 6G Era.summary.pdf</t>
  </si>
  <si>
    <t xml:space="preserve">Build hybrid prototypes and study handover, scheduling, interference, energy, blockage prediction, and DECT NR+ integration.</t>
  </si>
  <si>
    <t xml:space="preserve">—This paper provides a comparative analysis of the physical layer (PHY) characteristics of DECT-2020 NR and LTE-M, two critical standards for IoT communication. DECT-2020 NR, developed by ETSI, is intended for industrial IoT applications and provides low-latency, reliable communication in high-density environments. In contrast, LTE-M, which is a member of the 3GPP family, is designed to provide broad coverage, energy efﬁciency, and mobility support for low-power devices. The study emphasizes the distinctions between the standards regarding data rates, modulation schemes, and frequency bands, displaying how each standard fulﬁlls speciﬁc IoT requirements. Furthermore, it highlights the complementing characteristics of DECT-2020 NR and LTE-M, by providing performance insights such as bit-error rate (BER) analysis and spectral efﬁciency.</t>
  </si>
  <si>
    <t xml:space="preserve">of the ETSI-DECT 2020 standard [9]. DECT-2020 New Radio (NR) extends the capabilities of earlier DECT versions, such as DECT and DECT Evolution. It is a 5G Radio Interface Technology standard intended for use in time division duplex (TDD) frequency bands below 6 GHz, in which 17 distinct bands are supported at the physical layer centered at 1.9 GHz carrier frequency [10]. DECT-2020 NR largely employs DECT bands and has elements that allow easy integration with previous DECT systems into its system architecture. The DECT-2020 NR frame and slot lengths (10 ms and 41.6 μs) and supported channel bandwidth (1.728 MHz - 221 MHz) are identical to the standard DECT. Fortunately, while old DECT was meant to serve 979-8-3315-2129-5/24/$31.00 ©2024 IEEE 200 Authorized licensed use limited to: Hochschule Aalen (FH) - Technik und Wirtschaft. Downloaded on February 25,2026 at 12:39:47 UTC from IEEE Xplore. Restrictions apply. only voice calls, DECT-2020 NR is designed to enable a broader range of services [11]. DECT-2020 NR also utilizes stronger resistance to radio interference, also known as co-channel interference rejection [11]. DECT2020 NR presents a device- based wireless cluster-tree mesh network that can establish an independent network without additional base stations or a core network.</t>
  </si>
  <si>
    <t xml:space="preserve">The comparison positions DECT-2020 NR for dense, low-latency local IoT and LTE-M for wide-area coverage, mobility, and energy-efficient cellular connectivity.</t>
  </si>
  <si>
    <t xml:space="preserve">Compares DECT-2020 NR and LTE-M PHY characteristics, including modulation, data rate, bands, spectral efficiency, and BER-related behavior.</t>
  </si>
  <si>
    <t xml:space="preserve">The work is primarily comparative/analytical and provides limited original experimental or system-level evidence.</t>
  </si>
  <si>
    <t xml:space="preserve">A concise PHY-level comparison clarifying the complementary strengths of DECT-2020 NR and LTE-M for IoT applications was missing.</t>
  </si>
  <si>
    <t xml:space="preserve">Check publication type / peer-review status | Evaluation verified: Analytical/Modeling. The work is a comparative PHY analysis with BER and spectral-efficiency calculations; no physical experiment is described in the summary.</t>
  </si>
  <si>
    <t xml:space="preserve">Kizilirmak and Askarov - 2024 - Examination of PHY Layer Features in DECT-2020 and LTE-M Networks.summary.pdf</t>
  </si>
  <si>
    <t xml:space="preserve">Perform common-scenario simulations and testbed measurements covering energy, latency, mobility, coexistence, and deployment cost.</t>
  </si>
  <si>
    <t xml:space="preserve">DECT-2020 New Radio: The Next Step toward</t>
  </si>
  <si>
    <t xml:space="preserve">Massive machine type communications (mMTC) is one of the cornerstone services that must be supported by 5G systems. 3GPP has already introduced LTE-M and NB- IoT, referred to as cellular IoT (CIoT), in 3GPP Releases 13, 14, and 15, and submitted these technologies as part of 3GPP’s IMT-2020 technology submission to ITU-R. Even though NB-IoT and LTE-M have been shown to satisfy 5G mMTC requirements, it is expected that these CIoT solutions will not address all aspects of IoT and ongoing digitalization, including the support for direct communication between ”things” with flexible deployments, different business models, as well as support for even higher node densities and enhanced coverage. In this article, we first describe the Digital Enhanced Cordless Telecommunications (DECT) DECT-2020 standard recently published by ETSI for mMTC communications. We then evaluate its performance and compare it to the existing low-power wide area network solutions, showing that it outperforms those in terms of supported density of nodes while keeping delay and loss guarantees at the required level.</t>
  </si>
  <si>
    <t xml:space="preserve">This work was supported by the Business Finland 5G-FORCE project. Digital Object Identifier: 10.1109/MCOM.001.2100375 58 For many years, the Internet of Things (IoT) has been predicted to have almost exponential growth [1]. However, this progress has taken much longer than expected. With the rise of big data and artificial intelligence, IoT has become a new megatrend foreseen to impact many industry areas [2]. This progress depends on the availability of off-the-shelf enabling radio technologies. Conventionally, applications act as a driving factor toward developing enabling technologies. The Industry 4.0 concept dictates small delays in the air interface, enabling real-time synchronization and reconfiguration capabilities [3]. On the other hand, condition monitoring and logistics applications are characterized by high node density, and do not pose strict requirements on delay and single packet loss performance [4]. These new service requirements are taken into account in the International Telecommunication Union Radiocommunication Sector (ITU-R) International Mobile Telecommunications-2020 (IMT-2020) process such that any IMT-2020 technology proposal shall meet all the requirements of usage scenarios to be recognized as 5G technology by ITU-R [5]. Addressing these requirements, 3rd Generation Partnership Project (3GPP) has specified two services and associated enablers — Narrowband IoT (NB-IoT), Long-Term Evolution MTC (LTE-M), and</t>
  </si>
  <si>
    <t xml:space="preserve">The study reports that DECT-2020 NR supports higher node densities than compared LPWAN technologies while meeting required delay and loss targets.</t>
  </si>
  <si>
    <t xml:space="preserve">Introduces DECT-2020 NR architecture and evaluates its mMTC capacity against LPWAN alternatives, emphasizing decentralized high-density deployment.</t>
  </si>
  <si>
    <t xml:space="preserve">Results are mainly simulation-based and depend on assumed traffic and propagation models; commercial hardware validation is absent.</t>
  </si>
  <si>
    <t xml:space="preserve">The benefits of DECT-2020 NR relative to established LPWAN systems for very dense mMTC had not been quantitatively established.</t>
  </si>
  <si>
    <t xml:space="preserve">Evaluation verified: Simulation; Survey/Overview. The article provides a technology overview and evaluates performance through system-level analysis/simulation.</t>
  </si>
  <si>
    <t xml:space="preserve">Kovalchukov et al. - 2022 - DECT-2020 New Radio The Next Step toward 5G Massive Machine-Type Communications.summary.pdf</t>
  </si>
  <si>
    <t xml:space="preserve">Validate density and delay results experimentally and investigate heterogeneous traffic, mobility, coexistence, energy, and large multi-hop deployments.</t>
  </si>
  <si>
    <t xml:space="preserve">ITG-Fachbericht 319: Mobilkommunikation, 20. – 21.05.2025 in Osnabrück</t>
  </si>
  <si>
    <t xml:space="preserve">PHY; Routing/Mesh; Positioning/Localization; Industrial/Testbed/Application; Modeling/Analytical</t>
  </si>
  <si>
    <t xml:space="preserve">—Low Power Wide Area Networks (LPWAN) enable energy-efﬁcient communication over long distances, making them interesting for Internet of Things (IoT) applications. Some applications require a higher data rate than standard LPWAN while keeping a moderate range for keeping infrastructure requirements low. This paper provides a comparative evaluation of two LPWAN technologies, LoRa operating at 2.4 GHz and DECT NR+ for these kind of applications. We conducted modeling and experimental evaluations to assess their performance in terms of range and data rate across indoor, indoor-outdoor, and outdoor scenarios. For modeling we applied the log-distance path loss model, accounting for environmental conditions. Results show that LoRa achieves signiﬁcantly greater range, with up to 259 meters in indoor-outdoor scenarios, compared to DECT NR+ with a maximum of 16 meters. Outdoor evaluations revealed LoRa’s capability to maintain connectivity at distances exceeding 1 kilometer in non-line-of-sight conditions. However, DECT NR+ offers higher data rates, reaching up to 3744 kBit/s, making it advantageous for applications demanding robust data rates in limited-range scenarios. The ﬁndings highlight the trade-offs between range and data rate.</t>
  </si>
  <si>
    <t xml:space="preserve">kilometer in non-line-of-sight conditions. However, DECT NR+ offers higher data rates, reaching up to 3744 kBit/s, making it advantageous for applications demanding robust data rates in limited-range scenarios. The ﬁndings highlight the trade-offs between range and data rate. Index Terms—IoT, LPWAN, LoRa, DECT NR+, ISM, RF Modeling I. I NTRODUCTION The Internet of Things (IoT) is rapidly evolving, transforming the way we live and work. Modern devices are increasingly equipped with wireless radio interfaces, enabling seamless communication. In the context of smart city projects and industrial applications, the number of wireless sensors operating within the 868 MHz band has signiﬁcantly grown in the last years. This trend demonstrates the importance of Low Power Wide Area Networks (LPWANs) for IoT solutions, with LoRaWAN being a prime solution for energy efﬁciency and extended range. LoRaWAN in the 868 MHz band offers key advantages, including excellent building penetration, long battery life, and extended range [1] [2]. These characteristics are particularly crucial for IoT applications like water meter readings [3]. However, its low data rate and regulatory restrictions, such as the 1% duty cycle limitation in Europe, pose challenges to dynamic control of connected actuators [4]. Such constraints limit its potential for real-time applications</t>
  </si>
  <si>
    <t xml:space="preserve">LoRa provides substantially longer range, whereas DECT NR+ reaches much higher data rates, up to about 3.744 Mbit/s in the evaluated setup.</t>
  </si>
  <si>
    <t xml:space="preserve">Compares DECT NR+ and 2.4 GHz LoRa using path-loss modeling and measurements across indoor, indoor–outdoor, and outdoor scenarios.</t>
  </si>
  <si>
    <t xml:space="preserve">The evaluation covers selected hardware, environments, and configurations; energy, network capacity, interference, and mesh operation are not comprehensively assessed.</t>
  </si>
  <si>
    <t xml:space="preserve">Applications needing higher throughput than conventional LPWAN lacked measured guidance on the range–data-rate trade-off between DECT NR+ and 2.4 GHz LoRa.</t>
  </si>
  <si>
    <t xml:space="preserve">Evaluation verified: Experimental/Testbed; Analytical/Modeling. The paper explicitly combines path-loss modeling with experimental indoor and outdoor evaluations.</t>
  </si>
  <si>
    <t xml:space="preserve">Leugner and Hellbrueck - 2025 - An Alternative to SubGHz for LPWAN.summary.pdf</t>
  </si>
  <si>
    <t xml:space="preserve">Expand measurements across additional deployments and include energy, reliability, multi-node capacity, coexistence, and adaptive parameter selection.</t>
  </si>
  <si>
    <t xml:space="preserve">Data Assisted Backscatter Communications using</t>
  </si>
  <si>
    <t xml:space="preserve">—The Digital Enhanced Cordless Telecommunications (DECT-2020) New Radio (NR+), standardized by the European Telecommunications Standards Institute (ETSI), addresses International Telecommunication Union (ITU) IMT-2020 requirements for Internet of Things (IoT) and Industrial IoT. Although DECT2020 NR+ offers robust connectivity, it does not support ultra-low power or batteryless operation. The 3rd Generation Partnership Project’s (3GPP’s) Ambient Internet of Things (AIoT) initiative targets ultra-low power IoT devices operating on harvested ambient energy, with backscatter communication as a promising technology. This paper integrates backscatter-based AIoT functionality into DECT networks, leveraging existing DECT transmissions and data-assisted channel estimation to recover backscattered information. An Ambient Backscatter Communication (AmBC) receiver is symbiotically embedded within the DECT receiver, using Received Signal Strength (RSS) of DECT data traffic. We open-sourced the Matlab code for the DECT receiver in a Software-Defined Radio (SDR) platform. Over-theair experiments demonstrate feasibility, achieving Bit Error Rate (BER) performance as low as 0.02 under optimal conditions.</t>
  </si>
  <si>
    <t xml:space="preserve">data traffic. We open-sourced the Matlab code for the DECT receiver in a Software-Defined Radio (SDR) platform. Over-theair experiments demonstrate feasibility, achieving Bit Error Rate (BER) performance as low as 0.02 under optimal conditions. Index Terms—Ambient Backscatter Communications, Digital Enhanced Cordless Telecommunication, Received Signal Strength, Software-Defined Radio, Open-source Software I. I NTRODUCTION The Digital Enhanced Cordless Telecommunications (DECT) standard was first established by the European Telecommunications Standards Institute (ETSI) in 1992 to provide short-range wireless audio communication. Since then, DECT has undergone several revisions aimed at achieving lower energy consumption and wider bandwidth. The latest specification DECT-2020 New Radio (NR+) [1] defines a new physical layer based on Cyclic Prefix Orthogonal Frequency-Division Multiplexing (CP-OFDM) modulation. This standard is specifically designed for the ultra-low energy Internet of Things (IoT) applications and massive Machine Type Communications (mMTC) in industrial automation [2]. Recently, the 3rd Generation Partnership Project (3GPP) initiated a study on the Ambient Internet of Things (AIoT), focusing on ultra-low power IoT devices that operate solely on energy harvested from ambient sources [3]. A promising technology for AIoT is backscatter communication, which This work is in part supported by the European Project Ambient-6G (grant number 101192113), and Business Finland Project eMTC</t>
  </si>
  <si>
    <t xml:space="preserve">Over-the-air SDR experiments achieve BER as low as 0.02 under the best tested conditions.</t>
  </si>
  <si>
    <t xml:space="preserve">Embeds an ambient-backscatter receiver in a DECT NR+ SDR chain and releases MATLAB code, demonstrating over-the-air data-assisted backscatter reception.</t>
  </si>
  <si>
    <t xml:space="preserve">The experiment is an early proof of concept under favorable conditions; range, mobility, tag energy, multi-tag access, and integration with commercial receivers remain open.</t>
  </si>
  <si>
    <t xml:space="preserve">DECT NR+ does not inherently support batteryless devices, and its use as an ambient carrier for backscatter had not been experimentally demonstrated.</t>
  </si>
  <si>
    <t xml:space="preserve">Evaluation verified: Experimental/Testbed. Over-the-air SDR experiments are explicitly reported, with measured BER.</t>
  </si>
  <si>
    <t xml:space="preserve">Liao et al. - 2025 - Data Assisted Backscatter Communications Using DECT-2020 NR+ as Ambient Signal.summary.pdf</t>
  </si>
  <si>
    <t xml:space="preserve">Improve BER and range, support multiple tags, test realistic industrial channels, and integrate the receiver with full DECT NR+ hardware.</t>
  </si>
  <si>
    <t xml:space="preserve">2025 7th International Conference on Intelligent Control, Measurement and Signal Processing (ICMSP)</t>
  </si>
  <si>
    <t xml:space="preserve">—Oil and gas extraction and processing environments impose stringent requirements on wireless data links used for equipment monitoring, control, and safety. Multipath-rich metallic structures, Radio Frequency(RF) blocking, and dynamic interference degrade channel estimation accuracy, especially at low SNR. This paper adapts and evaluates a data-aided least-squares (LS) channel estimation approach—originally developed and validated for Digital Enhancement Cordless Telecommunication2020 New Radio Plus(DECT-2020 NR+)—to oil and gas equipment data communication over Orthogonal Frequency Division Multiplexing(OFDM) links. By combining pilot symbols with previously decoded data symbols, the proposed receiver improves channel transfer function (CTF) estimates without increasing pilot overhead. MATLAB simulations on AWGN and 3GPP TDL channels, coupled with a lab validation using a 979-8-3315-7017-0/25/$31.00 ©2025 IEEE DECT development board and a backscatter-like test signal, show consistent MSE gains over pilot-only LS across SNRs. Deployment aspects for oil and gas sites, including subcarrier numerology, packetization, and frequency planning in the 1.9 GHz frequency band, which is used in some industrial wireless systems. Detailed implementation guidance is provided for field gateways and sensor Radio Devices(RDs). Results indicate that data-aided estimation enhances reliability and spectral efficiency for real-time equipment telemetry and alarm reporting in harsh oilfield environments.</t>
  </si>
  <si>
    <t xml:space="preserve">(Beijing Petroleum Machinery Co.,Ltd.) China National Petroleum Corporation Beijing, China guobiaodri@cnpc.com.cn Abstract—Oil and gas extraction and processing environments impose stringent requirements on wireless data links used for equipment monitoring, control, and safety. Multipath-rich metallic structures, Radio Frequency(RF) blocking, and dynamic interference degrade channel estimation accuracy, especially at low SNR. This paper adapts and evaluates a data-aided least-squares (LS) channel estimation approach—originally developed and validated for Digital Enhancement Cordless Telecommunication2020 New Radio Plus(DECT-2020 NR+)—to oil and gas equipment data communication over Orthogonal Frequency Division Multiplexing(OFDM) links. By combining pilot symbols with previously decoded data symbols, the proposed receiver improves channel transfer function (CTF) estimates without increasing pilot overhead. MATLAB simulations on AWGN and 3GPP TDL channels, coupled with a lab validation using a 979-8-3315-7017-0/25/$31.00 ©2025 IEEE DECT development board and a backscatter-like test signal, show consistent MSE gains over pilot-only LS across SNRs. Deployment aspects for oil and gas sites, including subcarrier numerology, packetization, and frequency planning in the 1.9 GHz frequency band, which is used in some industrial wireless systems. Detailed implementation guidance is provided for field gateways and sensor Radio Devices(RDs). Results indicate that data-aided estimation enhances reliability and spectral efficiency for real-time equipment telemetry and alarm reporting in</t>
  </si>
  <si>
    <t xml:space="preserve">Simulation and lab results show consistent MSE improvement over pilot-only LS across the evaluated SNR range.</t>
  </si>
  <si>
    <t xml:space="preserve">Adapts data-aided least-squares channel estimation to DECT NR+ industrial links and validates it through MATLAB simulations and laboratory hardware tests.</t>
  </si>
  <si>
    <t xml:space="preserve">The laboratory backscatter-like setup does not reproduce a full oilfield deployment; mobility, interference, long-term stability, and field safety constraints are not tested.</t>
  </si>
  <si>
    <t xml:space="preserve">Pilot-only channel estimation can be inaccurate in low-SNR, multipath-rich oil-and-gas environments without adding more pilot overhead.</t>
  </si>
  <si>
    <t xml:space="preserve">Check publication type / peer-review status | Evaluation verified: Simulation; Experimental/Testbed. The work explicitly combines MATLAB simulations with laboratory validation on a DECT development board.</t>
  </si>
  <si>
    <t xml:space="preserve">Liu et al. - 2025 - Data-Aided Channel Estimation for Robust DECT-2020 NR+ Links in Oil and Gas Equipment Data Communica.summary.pdf</t>
  </si>
  <si>
    <t xml:space="preserve">Conduct field trials in operational oil-and-gas sites and evaluate real-time complexity, mobility, interference, and gateway integration.</t>
  </si>
  <si>
    <t xml:space="preserve">Physical Layer Performance of DECT-2020 New</t>
  </si>
  <si>
    <t xml:space="preserve">—Derived from the work at IMT-2020, the standard DECT2020-NR provides non- cellular communication solutions for applications requiring strict latency and reliability for flexible and adaptive deployments. Examples include industrial and audiovisual communications. This work-in-progress analyzes the physical layer performance of DECT2020-NR in an industrial environment. Different types of communication links are considered and various propagation channel conditions and system configurations are simulated. The results obtained confirm the need for a MAC access layer with link control techniques to ensure the reliability requirements of industrial applications.</t>
  </si>
  <si>
    <t xml:space="preserve">of Internet technologies into industry. Thus, the performance of radio communication systems in automation applications is challenging. In particular, in industrial environments, with many metal surfaces and moving objects, are significantly demanding for wireless transmissions. The large fluctuation in the quality of wireless transmission channels compared to wired ones (e.g., high endto-end latency and reduced reliability) raises the necessity to address new technologies and techniques to enhance and ensure the required-by-industry network quality. In addition to this new paradigm, Internet of Things (IoT) applied to the industry was transformed into Industrial Internet of Things (IIoT). IIoT represents the use of IoT in manufacturing [2], [3]. It can be defined as the development of connected devices that provide sensing and processing capability. Currently, on the factory area, wired connections provide highly reliable but costly and physically-restrictive connectivity. Wireless connectivity, however, offers many benefits over wired solutions. First, lower expenditures and decreased long-term maintenance costs can be achieved with wireless solutions by the elimination of conduit and cable. Second, wireless connections can be used in otherwise impractical locations, using low-power monitoring devices, thus eliminating the difficulties inherent in physically routing cables. Third, wireless communication allows quick mobility and reconfigurability; with wireless communication,</t>
  </si>
  <si>
    <t xml:space="preserve">The simulations confirm that PHY performance alone is insufficient and that MAC-level link control is required to meet industrial reliability targets.</t>
  </si>
  <si>
    <t xml:space="preserve">Evaluates DECT-2020 NR PHY performance under simulated industrial propagation and configuration scenarios and identifies the need for link-control mechanisms.</t>
  </si>
  <si>
    <t xml:space="preserve">Work-in-progress based on simulation; no hardware validation, complete MAC behavior, real interference, or moving machinery measurements.</t>
  </si>
  <si>
    <t xml:space="preserve">PHY reliability behavior in representative factory channels had not been sufficiently characterized for strict industrial requirements.</t>
  </si>
  <si>
    <t xml:space="preserve">Evaluation verified: Simulation. The paper states that propagation conditions and system configurations are simulated.</t>
  </si>
  <si>
    <t xml:space="preserve">Llaguno et al. - 2024 - Physical Layer Performance of DECT-2020 New Radio for Factory Automation.summary.pdf</t>
  </si>
  <si>
    <t xml:space="preserve">Implement MAC link adaptation and validate the findings in operational factories with mobility and interference.</t>
  </si>
  <si>
    <t xml:space="preserve">COMSNETS 2022 Workshop on Standards-driven Research</t>
  </si>
  <si>
    <t xml:space="preserve">—This paper provides an overview of DECT-2020 NR technology evaluation conducted by the Wireless World Research Forum (WWRF) in the context of IMT-2020 Evaluation Process solicited by the International Telecommunication Union (ITU). DECT-2020 NR, a Radio Interface Technology developed by ETSI TC DECT and DECT Forum, was submitted as an IMT-2020 candidate along with five other technologies. It is applicable in various use cases and markets, with focus on consumer and industrial IoT applications, such as industry and building automation and monitoring. In particular, it is targeting UltraReliable Low Latency (URLLC) and massive Machine Type Communication (mMTC) scenarios, based on decentralized network deployments. The WWRF performed a complete assessment of the technology which included a high-level assessment of services and spectrum capabilities, along with a minimum technical performance requirements analysis for the URLLC and mMTC test environments, based on inspection, analysis and simulation. For assessing characteristics using simulation, i.e., reliability and connection density, an in-house simulation tool was developed. The evaluation study addressed mesh topologies supported by DECT-2020 and proposed several enhancements to the ITU’s evaluation methodology, which is defined for cellular topologies only. The technology was found to fulfill all the requirements specified by ITU’s evaluation process for IMT-2020.</t>
  </si>
  <si>
    <t xml:space="preserve">to the RIT is presented in Section II. In Section III, the ITU requirements and the work</t>
  </si>
  <si>
    <t xml:space="preserve">The evaluation concludes that DECT-2020 NR fulfills the assessed IMT-2020 requirements for URLLC and mMTC.</t>
  </si>
  <si>
    <t xml:space="preserve">Documents the independent WWRF IMT-2020 evaluation of DECT-2020 NR, including inspection, analysis, simulation, and mesh-specific methodological adaptations.</t>
  </si>
  <si>
    <t xml:space="preserve">The assessment is tied to candidate-technology assumptions and in-house simulation; reproducibility is limited by unavailable implementation details.</t>
  </si>
  <si>
    <t xml:space="preserve">ITU evaluation procedures were designed for cellular topology and required adaptation for decentralized DECT-2020 NR meshes.</t>
  </si>
  <si>
    <t xml:space="preserve">Evaluation verified: Simulation; Analytical/Modeling; Survey/Overview. The WWRF assessment uses inspection, analysis, and an in-house simulation tool, while also providing an overview.</t>
  </si>
  <si>
    <t xml:space="preserve">Maliatsos et al. - 2022 - Evaluation of the IMT-2020 Candidate Radio Interface Technology DECT-2020 NR.summary.pdf</t>
  </si>
  <si>
    <t xml:space="preserve">Repeat assessment with standardized open models, commercial hardware, and updated releases of the specification.</t>
  </si>
  <si>
    <t xml:space="preserve">Energy efficiency and spectrum efficiency have been identified by “IMT for 2020 and beyond” (International Mobile Telecommunications) as two of the current wireless network capabilities that need substantial enhancement to satisfy the exponential growth of IoT and high data rate applications. “Digital Enhanced Cordless Telecommunications” (DECT) is the leading standard around the world for cordless telecommunications and it has the great advantage to operate on a “designated” license-free RF band (1880/1900 MHz in Europe). However, the original DECT has very low energy efficiency and very low spectral efficiency, and therefore, DECT is neither suitable for ultra-low energy applications nor for high data rate multimedia streaming applications. The “European Telecommunications Standards Institute” Technical Committee DECT (ETSI TC DECT) is working on these two aspects, and it has proposed a new set of “Technical Specifications” that enables DECT to support both ultra-low energy (DECT-ULE) and high data rate (DECT-2020 New Radio) application domains. In this paper, we introduce an energy consumption model for the DECT “Portable Part” (PP) that lets us analyze in detail the operation of a PP in the “standby mode”. The model lets us show that the simple reduction on the requirement of how often the PP must monitor the “paging” beacon enables DECT for ultra-low energy applications. We then show that the use of the state-of-the-art multi-carrier “Orthogonal Frequency Division Multiplexing” (OFDM) modulation, and the spatial multiplexing “Multiple Input Multiple Output” (MIMO) antenna technique, enables DECT for high data rate multimedia streaming applications.</t>
  </si>
  <si>
    <t xml:space="preserve">IMT-2020 [1] establishes the vision for mobile telecommunications for 2020 and beyond based on the forecast that traffic volume and number of devices will continue to grow exponentially. IMT-2020 points out eight current network capabilities that should be enhanced to satisfy such demands: peak data rate, user experienced data rate, latency, mobility, connection density, energy efficiency, spectrum efficiency, and area traffic capacity. Spectrum efficiency has a direct impact on data rate (peak and user experienced), connection density, and area traffic capacity; and therefore, it is one of the most important capabilities to enhance. Energy efficiency is crucial in the case of battery-operated Internet of Things (IoT) devices since it has a direct impact on battery lifetime. “Digital Enhanced Cordless Telecommunications” (DECT) [2] is the leading standard around the world for digital cordless telecommunications and it has the great advantage to Digital Object Identifier: (only for full papers, inserted by LACCEI). ISSN, ISBN: (to be inserted by LACCEI). DO NOT REMOVE operate on a “designated” license-free RF band (in Europe, from 1880 MHz to 1900 MHz). “Designated” meaning that no other technologies can be deployed in the DECT band, as it is the case, for the highly congested Industrial, Scientific and</t>
  </si>
  <si>
    <t xml:space="preserve">The analysis shows that reduced paging monitoring enables low-energy operation and that OFDM/MIMO can substantially improve spectral efficiency and data rate.</t>
  </si>
  <si>
    <t xml:space="preserve">Explains DECT evolution toward ultra-low-energy and high-data-rate operation using a portable-part energy model and analytical discussion of OFDM/MIMO improvements.</t>
  </si>
  <si>
    <t xml:space="preserve">The study is primarily conceptual/analytical and does not provide a complete DECT-2020 NR prototype or broad measured comparison.</t>
  </si>
  <si>
    <t xml:space="preserve">Legacy DECT was unsuitable for low-energy IoT and high-rate multimedia, motivating a consolidated analysis of the mechanisms introduced in DECT ULE and DECT-2020 NR.</t>
  </si>
  <si>
    <t xml:space="preserve">Evaluation verified: Analytical/Modeling; Survey/Overview. The paper develops an energy model and provides an overview/comparative discussion of DECT evolution.</t>
  </si>
  <si>
    <t xml:space="preserve">Montalvo et al. - 2024 - DECT Evolution towards Meeting the Requirements for IMT-2020 in the Residential Environment.summary.pdf</t>
  </si>
  <si>
    <t xml:space="preserve">Validate energy and spectral-efficiency claims experimentally and assess residential coexistence, cost, and end-to-end application performance.</t>
  </si>
  <si>
    <t xml:space="preserve">Comparison of Two Models</t>
  </si>
  <si>
    <t xml:space="preserve">PHY; MAC; Routing/Mesh; Security/Multi-RAT; Modeling/Analytical</t>
  </si>
  <si>
    <t xml:space="preserve">. DECT-2020 NR is a wireless communication standard designed for large-scale IoT networks with a large number of devices. In such networks, a sink node collects data from multiple sources. In this paper, we modeled a DECT-2020 sink node as a discrete packet arrival system, where data packets are processed in batches. We compared two types of systems with diﬀerent arrival disciplines, Early Arrival and Late Arrival, across several metrics, including the age of information (AoI), which measures the freshness of the received data. The results showed how the diﬀerence in the order of batch arrival aﬀected network performance and Age of Information.</t>
  </si>
  <si>
    <t xml:space="preserve">The rapid development of ﬁfth-generation (5G) networks creates new opportunities for enabling applications that demand massive machine-type communications (mMTC) and ultra-reliable low-latency communications (URLLC). These capabilities are of particular importance in the context of the Internet of Things (IoT), where millions of devices are expected to communicate simultaneously with high levels of reliability, resilience, and scalability. Among the promising technologies in this domain is the DECT-2020 New Radio (NR) protocol, standardized by the European Telecommunications Standards Institute (ETSI) [1–4]. Unlike conventional cellular systems that rely on centralized base stations and ﬁxed infrastructure, DECT-2020 NR operates in the unlicensed 1880–1930 MHz frequency band and supports a fully decentralized mesh network topology (see Fig. 1). c The Author(s), under exclusive license to Springer Nature Switzerland AG 2026 Y. Koucheryavy et al. (Eds.): ruSMART 2025/NEW2AN 2025, LNCS 16461, pp. 27–47, 2026. https://doi.org/10.1007/978-3-032-19978-2_3 28 U. Morozova et al. In DECT-2020 NR, each radio device (RD) can act as a transmitter (RDPT ), repeater (RDFT,PT ), or receiver (RDFT ), thereby supporting ﬂexible multi-hop communication. This self-organizing architecture enables scalable deployments with densities of up to one million devices per square kilometer [5], which significantly exceeds the capacity of traditional wireless technologies such as Wi-Fi,</t>
  </si>
  <si>
    <t xml:space="preserve">The authors recommend the late-arrival model as an upper-bound representation for delay and peak-AoI design calculations.</t>
  </si>
  <si>
    <t xml:space="preserve">Develops and compares early-arrival and late-arrival discrete-time queueing models for a DECT-2020 NR sink and derives peak-AoI behavior.</t>
  </si>
  <si>
    <t xml:space="preserve">The model abstracts wireless errors, routing, scheduling, and variable channel conditions and is not validated against simulation or hardware traces.</t>
  </si>
  <si>
    <t xml:space="preserve">The effect of non-ordinary batch-arrival discipline on delay and information freshness in DECT-2020 NR clusters had not been analytically characterized.</t>
  </si>
  <si>
    <t xml:space="preserve">Evaluation verified: Analytical/Modeling. The study uses discrete-time queueing models and derives analytical PAoI expressions.</t>
  </si>
  <si>
    <t xml:space="preserve">Morozova et al. - 2026 - Comparison of Two Models with Non-ordinary Arrival Process to Analyze the Cluster of the DECT-2020 N.summary.pdf</t>
  </si>
  <si>
    <t xml:space="preserve">Study variable batch-service sizes, estimate real arrival-batch distributions, and validate models with network measurements.</t>
  </si>
  <si>
    <t xml:space="preserve">European Wireless 2024 Ŏ 09 – 11 September 2024 Ŏ Brno, Czech Republic</t>
  </si>
  <si>
    <t xml:space="preserve">—5G communication networks are suitable to realize Tactile Internet with Human in the Loop application due to the envisaged latency promises. Currently, 5G Release 15 is widely deployed. Latency performance to control robots or enable humans to engage with the metaverse will require higher releases. WiFi is widely used due to its cost, but has poor latency performance due to the “listen- before-talk” requirement in the ISM bands. Therefore, solutions that combine low cost and high latency performance are needed. This paper presents a detailed performance evaluation of a 5G DECT NR+ testbed with a focus on latency and data rate. While commercial off-the-shelf (COTS) 5G testbeds are still very expensive, we present a low-cost solution to achieve similar or even better latency performance with NR+. The testbed is composed of two NR+ platforms and will explore different settings such as packet length and Modulation and Coding Scheme (MCS). The main result of the paper is that non-optimized COTS DECT NR+ can provide latency values of 2 ms to 8 ms and a data rate of 2.3 Mbit/s to 2.5 Mbit/s.</t>
  </si>
  <si>
    <t xml:space="preserve">to some of the main features of the standard. TABLE I DECT-2020 NR+ M ODULATION AND CODING SCHEMES ( ACCORDING TO STANDARD VERSION MCS0-MCS4). MCS Index 0 1 2 3 4 Modulation BPSK QPSK QPSK 16-QAM 16-QAM Nbps 1 2 2 4 4 R 1/2 1/2 3/4 1/2 3/4 B. Physical Layer The DECT-2020 NR+ physical layer is suitable for operation in frequency bands up to 6 GHz. The standard overall deﬁnes 19 different frequency bands from 450 MHz to 5875 MHz. However, in Europe and most of the world, implementations are limited to the unlicensed but regulated DECT frequency band of around 1.9 GHz. Therefore, the hardware that was used for tests supports these 3 bands: band 1: 1880 MHz to 1900 MHz band 2: 1900 MHz to 1920 MHz • band 9: 1910 MHz to 1930 MHz • • Depending on the subcarrier scaling factor and Fourier transform scaling factor, the transmission bandwidth can vary from 1.728 MHz up to 221.184 MHz. The typical operation range should theoretically cover several hundreds of meters. However, as described in [7], up to 3 km are achievable within line of sight. Six different Modulation and Coding Schemes (MCSs) are described in</t>
  </si>
  <si>
    <t xml:space="preserve">The prototype demonstrates the practical feasibility of using DECT NR+ as a low-cost connectivity option for tactile/human-in-the-loop applications.</t>
  </si>
  <si>
    <t xml:space="preserve">Builds and evaluates a low-cost DECT NR+ tactile-internet prototype for human-in-the-loop communication using commercial hardware.</t>
  </si>
  <si>
    <t xml:space="preserve">The prototype covers a limited scenario and scale; rigorous URLLC reliability, multi-user loading, mobility, and long-duration operation require further validation.</t>
  </si>
  <si>
    <t xml:space="preserve">Affordable non-cellular platforms for experimentally studying human-in-the-loop tactile applications were limited.</t>
  </si>
  <si>
    <t xml:space="preserve">Evaluation verified: Experimental/Testbed. The study reports a DECT NR+ testbed and measured latency/data rate.</t>
  </si>
  <si>
    <t xml:space="preserve">Mudriievskyi et al. - 2024 - CHEAP 5G DECT NR+ for Tactile Internet With Human In The Loop Application.summary.pdf</t>
  </si>
  <si>
    <t xml:space="preserve">Extend to larger interactive deployments and evaluate haptic traffic, reliability, synchronization, mobility, and closed-loop control quality.</t>
  </si>
  <si>
    <t xml:space="preserve">Master’s Programme in Electronics and Electrical Engineering</t>
  </si>
  <si>
    <t xml:space="preserve">The rapid expansion of the Internet of Things and Industrial IoT has accelerated the adoption of distributed sensing, automation, and data-driven decision-making across critical sectors such as manufacturing, energy, healthcare, and logistics. IoT devices typically possess limited computational resources, heterogeneous hardware architectures, and diverse communication protocols, making secure and scalable integration into modern communication infrastructures a persistent challenge. Although 5G provides high reliability, ultra-low latency, and massive connectivity—factors which makes it a promising foundation for IoT systems—current integration approaches often rely on complex architectures, proprietary gateways, and heavyweight security frameworks that limit their practicality in resource-constrained and industrial environments. To address these limitations, this thesis presents a lightweight and interoperable IoTto-5G integration framework featuring a minimal User Equipment and gNB gateway stack implemented in C. The system can operate directly on embedded IoT devices such as Raspberry Pi and non-cellular IIoT platforms like DECT-2020 NR, e.g. Nordic Semiconductor nRF91 family. Moreover, the UE and gNB gateways are designed to connect seamlessly with the private 5G Core Networks for device authentication, enabling secure, scalable, and standards-compliant integration across heterogeneous IoT environments. Experimental validation demonstrates that the designed UE and gNB gateway interoperate seamlessly with both commercial and open-source 5G systems, including Cumucore, OpenAirInterface, and free5GC. Unlike traditional IoT gateways that locally handle protocol translation and security overhead, the proposed design offloads authentication, session management, and traffic control directly to the 5GC, thereby reducing the computational burden on edge IoT and IIoT devices while ensuring full compliance with 3GPP standards.</t>
  </si>
  <si>
    <t xml:space="preserve">7 2 Literature Review 9</t>
  </si>
  <si>
    <t xml:space="preserve">The prototype provides implementation evidence for authenticating IoT devices in a combined 5G/non-public networking context.</t>
  </si>
  <si>
    <t xml:space="preserve">Implements and evaluates an authentication approach for non-public IoT networking involving DECT-2020 NR and 5G security mechanisms.</t>
  </si>
  <si>
    <t xml:space="preserve">As a master's thesis, evaluation is limited in scale and scenario coverage; formal security proof, attack testing, and multi-vendor interoperability are incomplete.</t>
  </si>
  <si>
    <t xml:space="preserve">Non-cellular DECT-2020 NR devices need practical authentication and integration mechanisms when used with 5G-oriented IoT infrastructure.</t>
  </si>
  <si>
    <t xml:space="preserve">Check publication type / peer-review status | Evaluation verified: Experimental/Testbed. The thesis implements and evaluates an authentication solution on a practical platform according to the summary.</t>
  </si>
  <si>
    <t xml:space="preserve">Ngo - 2025 - IoT device authentication in 5G networks.summary.pdf</t>
  </si>
  <si>
    <t xml:space="preserve">Perform adversarial testing, scale the prototype, compare authentication overheads, and integrate standardized credential management.</t>
  </si>
  <si>
    <t xml:space="preserve">2022 Joint European Conference on Networks and Communications &amp; 6G Summit (EuCNC/6G Summit): Wireless, Optical and</t>
  </si>
  <si>
    <t xml:space="preserve">—ETSI DECT-2020 New Radio (NR) is a new flexible radio interface targeted to support a broad range of wireless Internet of Things (IoT) applications. Recent reports have shown that DECT-2020 NR achieves good delay performance and it has been shown to fulfill both massive machine-type communications (mMTC) and ultra- reliable low latency communications (URLLC) requirements for 5th generation (5G) networks. A unique aspect of DECT-2020 as a 5G technology is that it is an autonomous wireless mesh network (WMN) protocol where the devices construct and uphold the network independently without the need for base stations or core network architecture. Instead, DECT-2020 NR relies on part of the network devices taking the role of a router to relay data through the network. This makes deployment of a DECT-2020 NR network affordable and extremely easy, but due to the nature of the medium access protocol, the routing responsibility adds an additional energy consumption burden to the nodes, who in the IoT domain are likely to be equipped with a limited battery capacity. In this paper, we analyze by system level simulations the energy consumption of DECT-2020 NR networks with different network sizes and topologies and how the reported low latencies can be upheld given the energy constraints of IoT devices. Being a new technology, DECT-2020 NR has not been extensively studied yet. In [1] the authors introduced the DECT-2020 NR standard and evaluated its performance by comparing it to the existing low-power wide-area network (LPWAN) solutions. The paper demonstrated delay performance similar to existing solutions but with much higher node densities. In [2] the standard was shown to fulfill the International Telecommunication Union Radiocommunication Sector (ITU-R) requirements for 5G networks, but in [3] only a partial fulfillment of these requirements was confirmed. These studies paid only little consideration to the energy required to reach the presented level of performance. Only in [1] the issue was touched by stating that a multi-hop network was more energy efficient than a single-hop network when considering the amount of energy needed for transmissions. We will demonstrate in this paper that this viewpoint is one-sided since the energy consumption of a multi-hop mesh network is not limited to the transmissions. Energy consumption of WMNs is a well-known problem covered by multiple studies in recent years [5], [6]. Like [1], most of them consider the energy consumption primarily as a routing problem, indicating that the energy is mostly consumed by the device transmissions. However, unlike many earlier WMN technologies, DECT-2020 NR uses state-of-the-art physical layer techniques, such as Cyclic Prefix Orthogonal Frequency Division Multiplexing (CP-OFDM), turbo coding and Hybrid ARQ (HARQ) with incremental redundancy which decrease the duration and increase the energy efficiency of the transmissions, making the comparison to old studies difficult and thus justifying the need for separate investigation on DECT-2020 NR. This paper extends the WMN energy problem field of study by exploring how the advanced features of DECT-2020 NR affect the WMN energy consumption, whether different network topologies have an impact on this and also whether the recently reported low latency capabilities of the new standard can be upheld in typical IoT scenarios given the energy constraints of IoT devices.</t>
  </si>
  <si>
    <t xml:space="preserve">The DECT-2020 NR standard was released by the European Telecommunications Standards Institute (ETSI) in 2020. It is intended for industrial Internet of Things (IoT) applications requiring either massive machine-type (mMTC) and/or ultra-reliable low latency (URLLC) communications. DECT-2020 NR introduces a device-based wireless cluster-tree mesh network, capable of forming an autonomous network without the need for separate base stations or core network. Nodes can act as routers between their neighbors, forwarding data between them in case direct connection is not possible. With wireless mesh networking (WMN) the coverage can theoretically reach extreme distances with minimal costs and effortless deployment. However, forwarding data through the network with a reasonable delay requires that each node passing the data onwards has an adequately active duty cycle, meaning the node can receive and transmit reasonably often so that the delay requirements are met, and the data does not accumulate in relaying nodes. However, maintaining an active duty cycle requires energy resources which may be scarce if the network consists of battery-operated nodes, as is common in the IoT domain. II. RESEARCH</t>
  </si>
  <si>
    <t xml:space="preserve">Results show that routing responsibility and network configuration strongly influence node energy consumption and lifetime.</t>
  </si>
  <si>
    <t xml:space="preserve">Quantifies energy consumption in DECT-2020 NR mesh networks and identifies the energy impact of routing roles and network operation.</t>
  </si>
  <si>
    <t xml:space="preserve">Simulation assumptions may not reflect current modem firmware and hardware power states; experimental validation is absent.</t>
  </si>
  <si>
    <t xml:space="preserve">System-level energy cost of decentralized DECT-2020 NR mesh participation had not been adequately quantified.</t>
  </si>
  <si>
    <t xml:space="preserve">Evaluation verified: Simulation. The work is a system-level simulation analysis of energy consumption.</t>
  </si>
  <si>
    <t xml:space="preserve">Nihtila and Berg - 2022 - Energy Consumption of DECT-2020 NR Mesh Networks.summary.pdf</t>
  </si>
  <si>
    <t xml:space="preserve">Measure commercial devices, develop energy-aware routing/sleep schemes, and study traffic, density, and mobility effects.</t>
  </si>
  <si>
    <t xml:space="preserve">Energy Saving Router Rotation</t>
  </si>
  <si>
    <t xml:space="preserve">—ETSI DECT-2020 New Radio (NR) is a new flexible radio interface targeted to support a broad range of wireless Internet of Things (IoT) applications. It has been shown to fulfill both massive machine-type communications (mMTC) and ultra- reliable low latency communications (URLLC) requirements for 5th generation (5G) networks. DECT-2020 NR is an autonomous wireless mesh network protocol where the devices can choose to become routers, forwarding the data of other devices in addition to their own data. Thus, a wireless mesh network does not need separate base stations or a core network architecture to extend coverage. This makes the deployment of DECT-2020 NR networks easy, but with the cost of increased energy consumption in the router nodes. Notably, the same energy consumption is not inflicted upon the non-routing leaf nodes whose operation is on the contrary very energy efficient. This role-induced disparity in node energy consumption results in the network not using the energy of its devices with maximal efficiency. A method to alleviate this problem could be a network rotation in which the roles of network nodes are periodically rotated and the energy consumption is thus distributed more evenly among the nodes. In this paper we propose a role rotation protocol for DECT-2020 NR and evaluate its impact to the expected lifetime and the performance of the network by system level simulations. met and the data does not accumulate to relaying nodes. However, maintaining an active duty cycle consumes energy resources which may be scarce if the network consists of mainly battery-operated nodes, as is common in the IoT domain. Energy consumption is a well-known and well-studied problem of WMNs. Comprehensive surveys of different energy-efficient routing protocols proposed for wireless sensor/mesh networks have been presented in literature e.g. [2], [3]. The advantages and disadvantages of each considered algorithm has been quite extensively analyzed. However, no earlier work on the suitability or the performance of WMN energy saving protocols with DECT-2020 NR yet exists. The performance of DECT-2020 NR has been evaluated earlier e.g. in [4]-[7] but none of the studies gave consideration to the network energy consumption. In [8] it was demonstrated that especially when serving delay sensitive data, the lifetime of a battery-operated DECT-2020 NR network is limited by the energy consumption of the router nodes, due to their active duty cycle required to maintain low latencies. On the other hand, the leaf nodes of DECT-2020 NR were shown to be very energy efficient as they only need to be awake intermittently. Due to this disparity in energy efficiency, it is evident that if the DECT-2020 NR network could distribute the energy consumption more evenly between the nodes, the network lifetime would increase. More even energy consumption distribution can be achieved via node role rotation. The idea has been proposed for WMNs earlier in [9] where the authors proposed a Low-Energy Adaptive Clustering Hierarchy (LEACH) protocol. LEACH utilizes a randomized rotation of cluster-heads, which are elected head nodes of local sensor node clusters. Cluster-heads collect the data from the nodes in the cluster, aggregate it and transmit it to the target base station, so their function is roughly similar to DECT-2020 NR routers. A cluster-head node consumes more energy than a regular node so in LEACH the cluster nodes periodically elect a different node to act as a cluster-head to evenly distribute the energy load. Similar role rotation idea was also used in [10], where the Span algorithm was introduced for 802.11 ad hoc networks. In</t>
  </si>
  <si>
    <t xml:space="preserve">The DECT-2020 NR standard was released by the European Telecommunications Standards Institute (ETSI) in 2020 [1]. It is intended for industrial Internet of Things (IoT) applications requiring either massive machine-type (mMTC) and/or ultra-reliable low latency (URLLC) communications. DECT-2020 NR introduces a device-based cluster-tree wireless mesh network (WMN), capable of forming an autonomous network without the need for separate base stations or core network. Nodes are capable of acting as routers between their neighbors, forwarding data between them in case direct connection is not possible. WMN coverage can theoretically reach extreme distances with minimal costs and effortless deployment. However, forwarding data through the network with a reasonable delay requires that each node passing the data onwards has an acceptable duty cycle, meaning the node is able to receive and transmit reasonably often so that the delay requirements are Authorized licensed use limited to: Hochschule Aalen (FH) - Technik und Wirtschaft. Downloaded on February 26,2026 at 08:03:27 UTC from IEEE Xplore. Restrictions apply. 69 Span, each network node periodically makes an independent decision on whether to sleep or stay awake as a coordinator node which is a similar node as DECT-2020 NR router node in a sense that it participates in forwarding</t>
  </si>
  <si>
    <t xml:space="preserve">The simulated protocol improves energy balance by rotating relay responsibility rather than repeatedly using the same nodes.</t>
  </si>
  <si>
    <t xml:space="preserve">Proposes a router-rotation protocol that distributes forwarding responsibility among DECT-2020 NR nodes to reduce uneven battery depletion.</t>
  </si>
  <si>
    <t xml:space="preserve">Simulation-only evaluation with simplified battery and traffic models; signaling overhead and real-device switching costs are not measured.</t>
  </si>
  <si>
    <t xml:space="preserve">Static router selection can drain relay nodes faster and shorten the operational lifetime of battery-powered mesh networks.</t>
  </si>
  <si>
    <t xml:space="preserve">Evaluation verified: Simulation. The router-rotation protocol is evaluated through system-level simulation.</t>
  </si>
  <si>
    <t xml:space="preserve">Nihtila and Taipale - 2022 - Energy Saving Router Rotation Protocol for DECT-2020 NR.summary.pdf</t>
  </si>
  <si>
    <t xml:space="preserve">Implement router rotation on hardware and optimize rotation using battery state, link quality, traffic, and reliability requirements.</t>
  </si>
  <si>
    <t xml:space="preserve">Modeling DECT-2020 as a Tandem Queueing System and Its</t>
  </si>
  <si>
    <t xml:space="preserve">Academic Editors: Leonid Piterbarg and Steve Drekic Received: 2 November 2025 Revised: 2 December 2025 Accepted: 20 December 2025 The Peak Age of Information (PAoI) quantifies the freshness of updates used in cyberphysical systems (CPSs), realized within the Internet of Things (IoT) paradigm, encompassing devices, networks, and control algorithms. Consequently, PAoI is a critical metric for real-time applications enabled by Ultra-Reliable Low Latency Communication (URLLC). While highly useful for system evaluation, the direct analysis of this metric is complicated by the correlation between the random variables constituting the PAoI. Thus, it is often evaluated using only the mean value rather than the full distribution. Furthermore, since CPS communication technologies like Wi-Fi or DECT-2020 involve multiple processing stages, modeling them as tandem queueing systems is essential for accurate PAoI analysis. In this paper, we develop an analytical model for a DECT-2020 network segment represented as a two-phase tandem queueing system, enabling detailed PAoI analysis via Laplace–Stieltjes transforms (LST). We circumvent the dependence between generation and sojourn times by classifying updates into four mutually exclusive groups. This approach allows us to derive the LST of the PAoI and determine the exact Probability Density Function (PDF) for M | M |1 → M | M |1 system. We also calculate the mean and variance of the PAoIs and validate our results through numerical experiments. Additionally, we evaluate the impact of different service time distributions on PAoI variability. These findings contribute to the theoretical understanding of PAoI in tandem queueing systems and provide practical insights for optimizing DECT-2020-based communication systems. Published: 4 January 2026 Correction Statement: This article has been republished with a minor change. The change does not affect</t>
  </si>
  <si>
    <t xml:space="preserve">The Internet of Things (IoT) is one of the most significant areas of technological development, built on three main components: devices, networks, and controls. This complex system requires not only the development of each component but also the evaluation of https://doi.org/10.3390/math14010186 Mathematics 2026, 14, 186 2 of 22 conditions for their coexistence. A critical aspect of this task is assessing communication networks regarding the feasibility of control implementation. Since control decisions rely heavily on device feedback, the relevance and timeliness of this information are paramount. As information relevance depends on delivery speed and reliability, careful network-level analysis is required for various systems. The Age of Information (AoI) has been proposed as a formal metric to evaluate update freshness [1]. In continuous-time systems, the AoI is defined as the time elapsed since the generation of the last successfully delivered update. Additionally, the discrete-time process formed by the local maxima of the AoI is analyzed to evaluate the delivery timeliness. This metric, known as the Peak AoI (PAoI), is defined as the sum of the inter-arrival time and the sojourn time for each update [1]. By exploring the AoI and PAoI, it is possible to assess the freshness of the information and</t>
  </si>
  <si>
    <t xml:space="preserve">The derived model links tandem-queue parameters to peak age of information and supports analytical performance assessment.</t>
  </si>
  <si>
    <t xml:space="preserve">Models DECT-2020 NR as a tandem queueing system and derives analytical peak-AoI characteristics for multi-stage packet processing.</t>
  </si>
  <si>
    <t xml:space="preserve">The abstract model omits many PHY/MAC effects and has not been calibrated with packet traces or experiments.</t>
  </si>
  <si>
    <t xml:space="preserve">End-to-end information freshness through sequential DECT-2020 NR service stages lacked an analytical queueing formulation.</t>
  </si>
  <si>
    <t xml:space="preserve">Evaluation verified: Analytical/Modeling. The article develops a tandem queueing model and analytical PAoI results.</t>
  </si>
  <si>
    <t xml:space="preserve">Nikolaev et al. - 2026 - Modeling DECT-2020 as a Tandem Queueing System and Its Application to the Peak Age of Information An.summary.pdf</t>
  </si>
  <si>
    <t xml:space="preserve">Extend the model to variable service, retransmissions, correlated traffic, and validation with simulation and testbed measurements.</t>
  </si>
  <si>
    <t xml:space="preserve">Link-Level Performance Evaluation of IMT-2020</t>
  </si>
  <si>
    <t xml:space="preserve">arXiv:2104.08549v1 [cs.NI] 17 Apr 2021 “This work has been submitted to the IEEE for possible publication. Copyright may be transferred without notice, after which this version may no longer be accessible.” Link-Level Performance Evaluation of IMT-2020 Candidate Technology: DECT-2020 New Radio Maxim Penner, Muhammad Nabeel, and Jürgen Peissig Institute of Communications Technology, Leibniz Universität Hannover, Germany {penner,nabeel,peissig}@ikt.uni- hannover.de Abstract—The ETSI has recently introduced the DECT-2020 New Radio (NR) as an IMT-2020 candidate technology for the mMTC and URLLC use cases. To consider DECT-2020 NR as an IMT-2020 technology, the ITU-R has determined different independent evaluation groups to assess its performance against the IMT-2020 requirements. These independent evaluation groups are now in process of investigating the DECT-2020 NR. In order to successfully assess a technology, one important aspect is to fully understand the underlying physical layer and its performance in different environments. Therefore, in this paper, we focus on the physical layer of DECT-2020 NR and investigate its link-level performance with standard channel models provided by the ITUR for evaluation. We perform extensive simulations to analyze the performance of DECT-2020 NR for</t>
  </si>
  <si>
    <t xml:space="preserve">both URLLC and mMTC use cases. The results presented in this work are beneficial for the independent evaluation groups and researchers as these results can help calibrating their physical layer performance curves. These results can also be used directly for future system-level evaluations of DECT-2020 NR. I. I NTRODUCTION Due to growing number of new applications day by day and their advanced requirements, the mobile communication industry witnesses a generation transition almost after every decade. To process this transition smoothly, different organizations regularly work together to create new standards, technical specifications, and regulations [1]. In the last years, the International Telecommunication Union, Radiocommunication Sector (ITU-R) Working Party 5D (WP5D) has set requirements for International Mobile Telecommunications 2020 (IMT-2020) to support the Fifth Generation (5G) use cases involving Ultra Reliable Low Latency Communications (URLLC), massive Machine Type Communications (mMTC), and enhanced Mobile Broadband (eMBB) [2]. By targeting one or more of these 5G use cases, Third Generation Partnership Project (3GPP) has developed technologies such as New Radio (NR), Narrowband Internet of Things (NB-IoT), and Long Term Evolution for Machines (LTE-M) that meet the requirements set by ITU-R [3], [4]. One of the candidate technologies currently being evaluated, submitted by European Telecommunications</t>
  </si>
  <si>
    <t xml:space="preserve">Simulation results characterize the operating regions in which the DECT-2020 NR link meets candidate-technology performance requirements.</t>
  </si>
  <si>
    <t xml:space="preserve">Performs link-level simulation of the DECT-2020 NR IMT-2020 candidate, evaluating modulation/coding and reliability-related PHY performance.</t>
  </si>
  <si>
    <t xml:space="preserve">Link-level simulation does not capture complete MAC, network loading, hardware impairments, or real propagation.</t>
  </si>
  <si>
    <t xml:space="preserve">Independent link-level evidence was needed to verify candidate-technology performance under IMT-2020 assumptions.</t>
  </si>
  <si>
    <t xml:space="preserve">Evaluation verified: Simulation; Analytical/Modeling. The link-level work uses simulation and analytical performance evaluation.</t>
  </si>
  <si>
    <t xml:space="preserve">Penner et al. - 2021 - Link-Level Performance Evaluation of IMT-2020 Candidate Technology DECT-2020 New Radio.summary.pdf</t>
  </si>
  <si>
    <t xml:space="preserve">Validate with hardware and extend assessment to system-level scheduling, interference, multi-hop, and mixed traffic.</t>
  </si>
  <si>
    <t xml:space="preserve">URLLC Performance Evaluation of IMT-2020</t>
  </si>
  <si>
    <t xml:space="preserve">URLLC Performance Evaluation of IMT-2020 Candidate Technology: DECT-2020 New Radio Maxim Penner, Muhammad Nabeel, and Jürgen Peissig 2021 IEEE 94th Vehicular Technology Conference (VTC2021-Fall) | 978-1-6654-1368-8/21/$31.00 ©2021 IEEE | DOI: 10.1109/VTC2021-FALL52928.2021.9625340 Institute of Communications Technology, Leibniz Universität Hannover, Germany {penner,nabeel,peissig}@ikt.uni-hannover.de Abstract—The European Telecommunications Standards Institute (ETSI) Technical Committee (TC) Digital Enhanced Cordless Telecommunications (DECT) and DECT forum have recently introduced DECT-2020 New Radio (NR) as an International Mobile Telecommunications 2020 (IMT-2020) candidate technology for the massive Machine Type Communications (mMTC) and Ultra Reliable Low Latency Communications (URLLC) use cases. To consider DECT-2020 NR as an IMT-2020 technology, the International Telecommunication Union, Radiocommunication Sector (ITU-R) has determined different independent evaluation groups to assess its performance against the IMT-2020 requirements. These independent evaluation groups are now in the process of investigating DECT-2020 NR. In order to successfully assess a technology, one important aspect is to fully understand the underlying physical layer and its performance in different environments. Therefore, in this paper, we first focus on the physical layer of DECT-2020 NR and investigate its linklevel performance with standard channel models provided by</t>
  </si>
  <si>
    <t xml:space="preserve">the ITU-R for evaluation. We then use these link-level results to perform system-level evaluation of DECT-2020 NR for its suitability for the URLLC use case of Fifth Generation (5G). By performing extensive simulations, we show that DECT-2020 NR is well suited for URLLC. The results presented in this work will be beneficial for the independent evaluation groups and researchers as these results can help calibrating their physical layer performance curves and in comparing the system-level performance of DECT-2020 NR. I. I NTRODUCTION Due to growing number of new applications day by day and their advanced requirements, the mobile communication industry witnesses a generation transition almost after every decade. To process this transition smoothly, different organizations regularly work together to create new standards, technical specifications, and regulations [1]. In the last years, the International Telecommunication Union, Radiocommunication Sector (ITU-R) Working Party 5D (WP5D) has set requirements for International Mobile Telecommunications 2020 (IMT-2020) to support Fifth Generation (5G) use cases involving Ultra Reliable Low Latency Communications (URLLC), massive Machine Type Communications (mMTC), and enhanced Mobile Broadband (eMBB) [2]. By targeting one or more of these 5G use cases, Third Generation Partnership Project (3GPP) has developed technologies such as New Radio (NR), Narrowband</t>
  </si>
  <si>
    <t xml:space="preserve">The evaluated configurations achieve sub-millisecond link latency and reliability up to 99.99% under the modeled conditions.</t>
  </si>
  <si>
    <t xml:space="preserve">Evaluates DECT-2020 NR link latency and reliability for the IMT-2020 URLLC use case using detailed PHY simulations and HARQ configurations.</t>
  </si>
  <si>
    <t xml:space="preserve">The analysis is simulation-based and excludes full protocol-stack processing, implementation latency, and network-level contention.</t>
  </si>
  <si>
    <t xml:space="preserve">The ability of DECT-2020 NR to meet strict URLLC latency and reliability targets required independent link-level verification.</t>
  </si>
  <si>
    <t xml:space="preserve">Evaluation verified: Simulation; Analytical/Modeling. The URLLC study combines link-level and system-level simulations with analytical evaluation.</t>
  </si>
  <si>
    <t xml:space="preserve">Penner et al. - 2021 - URLLC Performance Evaluation of IMT-2020 Candidate Technology DECT-2020 New Radio.summary.pdf</t>
  </si>
  <si>
    <t xml:space="preserve">Perform hardware-in-the-loop and end-to-end tests and study interference, scheduling, multi-hop URLLC, and coexistence.</t>
  </si>
  <si>
    <t xml:space="preserve">ITG-Fachbericht 304: Mobilkommunikation, 18. – 19.05.2022 in Osnabrück</t>
  </si>
  <si>
    <t xml:space="preserve">—DECT-2020 NR is a young radio standard developed by ETSI, which aims to provide a lean but powerful technical foundation for industrial IoT applications (IIoT) such as e.g. Industry 4.0, media content production, mission-critical or building automation and monitoring. The DECT Forum markets DECT-2020 NR as DECT NR+. In the fall of 2021, ITU-R adopted DECT-2020 NR as part of the IMT-2020 family of standards, also known as the 5th generation (5G) of wireless access technology. Driving underlying design objective of DECT-2020 NR has been to create a wireless communication technology, which can be deployed by anyone, be operated by anybody and used anywhere opening in that sense extensive opportunities for sustainable, independent or cooperative wireless connectivity solutions, especially for medium-sized industries. This paper provides an overview of the essentials of the state of the art in DECT NR+ represented by the ETSI TC DECT-2020 NR technical speciﬁcations. We describe the fundamental concepts of DECT-2020 NR, highlighting how application and solution development is facilitated, and propose various possible innovation paths inﬂuencing future standardization and spectrum policy concepts for local area private industrial networks. In addition, we point out options for governance models that can lead to democratisation of 5G and IIoT.</t>
  </si>
  <si>
    <t xml:space="preserve">of the Digital European Cordless Telecommunications system. [6] ETSI TS 103 636-1: DECT-2020 New Radio (NR); Part 1: Overview [7] ETSI TS 103 636-3: DECT-2020 New Radio (NR); Part 3: Physical layer [8] ETSI TS 103 636-4: DECT-2020 New Radio (NR); Part 4: Medium Access Control layer [9] ETSI EN 300 175-3: ”Digital Enhanced Cordless Telecommunications (DECT); Common Interface (CI); Part 3: Medium Access Control (MAC) layer”. [10] ETSI TS 103 636-2: ”DECT-2020 New Radio (NR); Part 2: Radio Reception and Transmission requirements” [11] ETSI EN 301 908-10 V4.</t>
  </si>
  <si>
    <t xml:space="preserve">The article summarizes how decentralized deployment, mesh functionality, and flexible PHY/MAC parameters target mMTC and URLLC vertical applications.</t>
  </si>
  <si>
    <t xml:space="preserve">Provides a structured overview of DECT NR+ architecture, PHY/MAC features, mesh operation, use cases, and positioning as a non-cellular 5G technology.</t>
  </si>
  <si>
    <t xml:space="preserve">The paper is an overview and does not contribute an independent algorithm or extensive experimental evaluation.</t>
  </si>
  <si>
    <t xml:space="preserve">Vertical industries needed an accessible consolidated explanation of the newly standardized DECT NR+ technology.</t>
  </si>
  <si>
    <t xml:space="preserve">Evaluation verified: Survey/Overview. The paper primarily introduces and explains the standard and vertical use cases; no original testbed is stated.</t>
  </si>
  <si>
    <t xml:space="preserve">Perez-Guirao et al. - 2022 - DECT NR+Unveiling the Essentials of a new non-cellular 5G Standard for Verticals.summary.pdf</t>
  </si>
  <si>
    <t xml:space="preserve">Validate vertical use cases through large-scale industrial pilots and multi-vendor interoperability studies.</t>
  </si>
  <si>
    <t xml:space="preserve">DECT-2020 NR for Energy and Power Grid</t>
  </si>
  <si>
    <t xml:space="preserve">—Modern power grids and industrial systems require scalable and reliable wireless connectivity to support real-time monitoring and control. DECT-2020 New Radio (NR), an ETSIstandardized wireless technology operating in license-exempt spectrum, offers native mesh networking, low latency, and flexible deployment for industrial Internet-of-Things (IoT) applications. This paper investigates the suitability of DECT-2020 NR mesh networking for power grid monitoring within the Ultra Scalable Wireless Access (USWA) project. Two proof-of-concept (PoC) deployments are evaluated, collecting data from multiple sensors under varying conditions, including packet fragmentation, multihop communication, and different data rates to assess the endto-end performance of the system in terms of quality-of-service (QoS) metrics. From the results, we found that DECT-2020 NR shows potential for larger scale energy and substation monitoring deployments.</t>
  </si>
  <si>
    <t xml:space="preserve">of Things (IoT), Proof of Concept (PoC), Mesh Networks I. I NTRODUCTION Digitization of industries requires efficient, flexible, and cost-effective wireless connectivity solutions. Many industrial facilities still rely on cables for communication, which limits scalability and reconfiguration. DECT-2020 New Radio (NR) – a modern wireless ETSI standard – has emerged as a promising candidate to address this gap. DECT-2020 NR offers a stateof-the-art radio interface tailored for industrial Internet-ofThings (IoT) applications, including native mesh networking capabilities that enable large-scale local networks through multihop relaying between devices, as well as point-to-point and star network topologies. Operating in a license-exempt band (the frequency band previously used by Digital Enhanced Cordless Telecommunication devices, i.e., legacy DECT), it allows industrial users to deploy and manage private networks without licensing costs, opening opportunities for more autonomous and scalable digitization efforts in factories, buildings, utility sites, and cities. This paper is conducted within the framework of the Ultra Scalable Wireless Access (USWA) project (project running from 12/2022 to 11/2025), which investigated how advanced DECT2020 NR features can support diverse industrial use cases. The project goals included defining system architectures and performance requirements, developing scalable and energy-efficient mesh networking for massive machine type communications (mMTC) IoT deployments,</t>
  </si>
  <si>
    <t xml:space="preserve">The testbed demonstrates that DECT-2020 NR can support the evaluated grid-monitoring communication requirements under the tested conditions.</t>
  </si>
  <si>
    <t xml:space="preserve">Deploys DECT-2020 NR in power-grid/substation monitoring scenarios and evaluates application QoS using a practical testbed.</t>
  </si>
  <si>
    <t xml:space="preserve">The deployment covers selected sites, traffic, and hardware; long-term reliability, electromagnetic interference, cybersecurity, and fleet scale need broader study.</t>
  </si>
  <si>
    <t xml:space="preserve">Evidence of DECT-2020 NR performance for real energy and substation monitoring workflows was limited.</t>
  </si>
  <si>
    <t xml:space="preserve">Evaluation verified: Experimental/Testbed. Two proof-of-concept deployments are evaluated with sensors, fragmentation, and multihop communication.</t>
  </si>
  <si>
    <t xml:space="preserve">Pires et al. - 2026 - DECT-2020 NR for Energy and Power Grid Substation QoS Monitoring Use Cases.summary.pdf</t>
  </si>
  <si>
    <t xml:space="preserve">Run extended field trials, integrate grid protocols, and assess redundancy, security, interference, mobility, and maintenance.</t>
  </si>
  <si>
    <t xml:space="preserve">DECT NR+: A new radio standard to benefit professional audio applications</t>
  </si>
  <si>
    <t xml:space="preserve">sion. Moreover, the system should not compromise on audio quality and offer a flat frequency response and full dynamic range. On the RF side, a wireless microphone system is challenged by multipath propagation, frequencyselective fading, and multiple sources of interference. In case of belt-worn transmitters, the RF performance is also adversely impacted by the human body which causes a loss in signal power. In spite of all this, a typical PMSE scenario requires a wireless microphone system to cover an area of operation of 100 m2 [4]. Finally, given the scarcity of frequency resources, it is crucial that the spectrum is utilized efficiently and in compliance with local regulations. DECT-2020 New Radio (marketed as NR+ by the DECT Forum) is an ETSI-developed Radio Interface Technology (RIT) that meets the IMT-2020 requirements for UltraReliable Low Latency (URLLC) and massive Machine Type Communication (mMTC). Therefore, in late 2021, it was approved by the ITU-R to be included in the 5G family of standards. Constituting the world’s first non-cellular 5G technology, DECT NR+ targets nomadic wireless applications that can be deployed anywhere by anyone at any time. Along with the option to operate in the license-exempt 1.9 GHz DECT band, the meshnetworking capability of NR+ makes the technology a compelling choice for Small and Medium-sized Enterprises (SMEs) and the Program Making and Special Events (PMSE) industry. Wireless microphone systems comprise a transmission chain that is either fully analog or digital, or makes use of both analog and digital technology. Such hybrid systems employ digital audio signal processing but rely on analog modulation. In analog systems, which commonly employ frequency modulation (FM), the amplitude of the audio signal is used to vary the instantaneous frequency of the carrier wave. Carson’s rule states that the bandwidth requirement BT of an FM signal is approximately equal to twice the sum of the peak frequency deviation ∆f and the highest modulating frequency fm [1]: In this paper, we first give an</t>
  </si>
  <si>
    <t xml:space="preserve">to PMSE and its core application of wireless microphone systems. We then provide an overview of DECT NR+ and show how it can benefit wireless professional audio applications. Finally, we report on our activities within the Franco-German joint research project MERCI which incorporates companies from the media and event sector to work towards a shared vision of delivering fully immersive audio-visual experiences through DECT NR+ cooperative networks. As part of the project, we are developing a Software-Defined Radio (SDR) platform to evaluate and demonstrate the technology for the conceived use cases. (1) BT = 2(∆f + fm ). The frequency deviation in turn is calculated as the product of the sensitivity of the frequency modulator and the amplitude of the modulating signal. Consequently, increasing the bandwidth allows a higher deviation from the carrier center frequency and therefore leads to an improvement in dynamic range. For this reason, analog wireless microphone systems usually employ wideband FM, where ∆f fm . However, in practice the bandwidth available to an FM system is constrained. As a solution, a technique known as companding is used. To accommodate the limited dynamic range of the channel, the modulating signal is compressed at the transmitter and then</t>
  </si>
  <si>
    <t xml:space="preserve">The analysis identifies low latency and dedicated spectrum as promising features but highlights implementation and resource trade-offs.</t>
  </si>
  <si>
    <t xml:space="preserve">Analyzes how DECT NR+ features and design trade-offs could benefit professional audio applications.</t>
  </si>
  <si>
    <t xml:space="preserve">Primarily a feasibility/overview study with limited original measurement evidence and incomplete full-stack audio validation.</t>
  </si>
  <si>
    <t xml:space="preserve">The professional-audio community lacked a technology-focused assessment of DECT NR+ capabilities and constraints.</t>
  </si>
  <si>
    <t xml:space="preserve">Evaluation verified: Analytical/Modeling; Survey/Overview. The article presents requirements/design-space analysis and a technology overview; the summary does not establish a real measurement campaign.</t>
  </si>
  <si>
    <t xml:space="preserve">Poets and WaÃ - 2024 - DECT NR+ A new radio standard to benefit professional audio applications.summary.pdf</t>
  </si>
  <si>
    <t xml:space="preserve">Develop complete audio prototypes and measure codec, buffering, synchronization, reliability, density, and interference.</t>
  </si>
  <si>
    <t xml:space="preserve">Professional Networked Audio over DECT NR+:</t>
  </si>
  <si>
    <t xml:space="preserve">—DECT NR+, also known by its official designation DECT-2020 NR, is a new radio standard developed and maintained by the European Telecommunications Standards Institute (ETSI). It is the world’s first non-cellular 5G technology and fulfils the IMT-2020 requirements for both massive Machine Type Communications (mMTC) and Ultra-Reliable and Low Latency Communications (URLLC). The latter makes it a promising candidate for applications from the Programme Making and Special Events (PMSE) sector. In this paper, we investigate the feasibility of using DECT NR+ as a cable replacement solution for networked audio systems, with Dante serving as an example. Dante is an AV connectivity platform developed by Audinate that has become the de facto industry standard for digital audio networking. Using an open-source Software-Defined Radio (SDR) implementation of DECT NR+, we set up a wireless link between two Dante-enabled devices. Based on the metrics reported to Dante Controller, we assess the performance of Dante in the DECT NR+ wireless network and demonstrate that an average one-way latency of 1.7 ms can be achieved.</t>
  </si>
  <si>
    <t xml:space="preserve">to DECT NR+ and its role in wireless professional audio, followed by an overview of Audinate’s Dante to establish the application context. A. DECT-2020 NR DECT-2020 New Radio (NR) is a novel Radio Interface Technology (RIT) standardized by the European Telecommunications Standards Institute (ETSI) within its Technical Committee (TC) Digital Enhanced Cordless Telecommunications (DECT). It is also referred to as NR+, the brand name promoted by the DECT Forum—an industry association that advocates for DECT technologies and spectrum access [14]. The standard is concise, with the core Technical Specification (TS) comprising five documents published to date. Part 1 provides an overview of the technology [15], while Part 2 establishes the minimum radio reception and transmission requirements for DECT-2020 Radio Devices (RDs) [16]. Parts 3 and 4 contain the physical and MAC layer specifications, respectively [17], [18]. Part 5 describes the Data Link Control (DLC) and Convergence (CVG) layers. The DLC layer Authorized licensed use limited to: Hochschule Aalen (FH) - Technik und Wirtschaft. Downloaded on February 25,2026 at 12:47:50 UTC from IEEE Xplore. Restrictions apply. provides services to the MAC layer at each radio link, including segmentation and packet routing, while the CVG layer operates end-to- end, offering services such as</t>
  </si>
  <si>
    <t xml:space="preserve">Experimental results demonstrate that DECT NR+ can transport professional networked audio in the evaluated prototype configuration.</t>
  </si>
  <si>
    <t xml:space="preserve">Implements professional networked audio over DECT NR+ using an open SDR approach and evaluates feasibility and performance.</t>
  </si>
  <si>
    <t xml:space="preserve">Prototype scale and audio scenarios are limited; production reliability, synchronization, coexistence, power, and dense multi-channel operation remain open.</t>
  </si>
  <si>
    <t xml:space="preserve">End-to-end practical evidence for transporting professional audio over DECT NR+ was scarce.</t>
  </si>
  <si>
    <t xml:space="preserve">Evaluation verified: Experimental/Testbed. The work experimentally evaluates professional networked audio over DECT NR+.</t>
  </si>
  <si>
    <t xml:space="preserve">Poets et al. - 2025 - Professional Networked Audio over DECT NR+ Feasibility and Performance.summary.pdf</t>
  </si>
  <si>
    <t xml:space="preserve">Test larger audio networks, clock synchronization, interference, redundancy, mobility, and long-duration live production.</t>
  </si>
  <si>
    <t xml:space="preserve">Rural remote areas have unique challenges for providing reliable and high-speed cellular connectivity, which makes them unattractive for mobile network operators. The Horizon Europe COMMECT project has addressed connectivity in rural remote areas by 5G private network deployments, which so far have mainly been studied and deployed in industrial environment. The evaluation of the 5G private network deployments is conducted through field trials in four different environment, each of them characterized by different challenges and aiming to support different agro-forestry use cases. In particular, the evaluations relate to 1) indoor environments (e.g. hospitals and educational centers), 2) forestry, 3) livestock transportation, and 4) mines. The obtained results showcase that 5G private networks can support the proposed use cases. For example, in indoor environments, a downlink and uplink throughput of 700 Mbps and 50 Mbps, respectively, were measured, which are sufficient to enable e.g. remote monitoring of hospital patients. Moreover, it was measured that at least 10 Mbps in the uplink can be achieved for up to 300 m deep in the forest. The 10 Mbps target is also met in the farm location, including a satellite backhaul, which can enable e.g. the use case of (un)loading livestock from/to the truck. Additionally, throughput of more than 100 Mbps was measured at the mine location, which is sufficient to enhance safety by e.g. operating autonomous vehicles.</t>
  </si>
  <si>
    <t xml:space="preserve">In recent years, the fifth generation of mobile networks (5G) has seen wide deployment around the globe. Continuing the trend of the previous generations of cellular networks, 5G further improves broadband services as well as enabling a range of new services by also offering ultra-low latency and massive connectivity [1]. Typically, these so-called public The associate editor coordinating the review of this manuscript and approving it for publication was Nurul I. Sarkar VOLUME 13, 2025 . 5G networks are deployed and managed by mobile network operators (MNOs), which then offer their supported services to individuals or businesses. While MNOs provide a range of services, e.g. Internet access, and video streaming, through their 5G networks, their network deployments are mostly focused on urban areas. Providing connectivity in rural areas is unattractive and challenging for MNOs due to the high investment needed for the infrastructure deployment and the low population density in those areas [2]. Thus, rural areas often face limited or 2025 The Authors. This work is licensed under a Creative Commons Attribution 4.0 License. For more information, see https://creativecommons.org/licenses/by/4.0/ 154581 M. Raftopoulou et al.: Deployment and Performance Evaluation of 5G Private Networks poor connectivity, which in return impacts the residents</t>
  </si>
  <si>
    <t xml:space="preserve">The field deployment demonstrates practical private-5G support for selected rural awareness services.</t>
  </si>
  <si>
    <t xml:space="preserve">Deploys and evaluates private 5G infrastructure for rural awareness and public-health use cases, providing practical deployment experience.</t>
  </si>
  <si>
    <t xml:space="preserve">The work is primarily 5G rather than DECT-2020 NR and the evaluated use cases and geography limit generalization.</t>
  </si>
  <si>
    <t xml:space="preserve">Rural and remote communities lack evidence on feasible private 5G deployment models and application performance.</t>
  </si>
  <si>
    <t xml:space="preserve">Evaluation verified: Experimental/Testbed. The evaluation is conducted through field trials in four real environments.</t>
  </si>
  <si>
    <t xml:space="preserve">Raftopoulou et al. - 2025 - Deployment and Performance Evaluation of 5G Private Networks, Enabling Use Cases in Rural Remote Are.summary.pdf</t>
  </si>
  <si>
    <t xml:space="preserve">Extend deployments, compare alternative technologies including DECT NR+, and evaluate cost, sustainability, coverage, and long-term operations.</t>
  </si>
  <si>
    <t xml:space="preserve">Topology-Aware Deep Reinforcement Learning for</t>
  </si>
  <si>
    <t xml:space="preserve">—DECT-2020 New Radio (NR) is a radio interface technology (RIT) standardized by the European Telecommunications Standards Institute (ETSI) for large-scale massive machine-type communication (mMTC) and Ultra-Reliable and Low-Latency Communications (URLLC) deployments. In DECT2020 NR mesh networks, multi-hop delivery is typically realized by flooding-based forwarding, which is robust but increases network load and does not explicitly optimize end-to-end latency or reliability. In this paper, we propose a topology-aware Deep Reinforcement Learning (DRL) framework for URLLC-oriented multi-hop routing in DECT-2020 NR mesh networks. Nexthop selection is modeled as a Markov decision process (MDP) whose state combines link-level latency and packet error rate (PER) metrics with graph-structured topology information. An inductive graph neural network (GNN) encoder summarizes the current mesh topology and a per-edge Deep Q-Network (DQN) head selects the next hop using a URLLC-shaped reward that jointly captures end- to-end latency and reliability. To improve scalability, the agent is trained through a curriculum over progressively larger topologies. Simulation results over small to large mesh topologies show that the proposed GNN+DRL routing policy improves the URLLC trade-off compared with both the existing latency-only routing method and the DECT2020 NR flooding procedure. For a representative medium-sized mesh network, it reduces end-to-end latency by up to 19.9%, lowers end-to-end PER by up to 10%, and decreases the number of transmissions per delivered packet compared with the existing approach.</t>
  </si>
  <si>
    <t xml:space="preserve">the current mesh topology and a per-edge Deep Q-Network (DQN) head selects the next hop using a URLLC-shaped reward that jointly captures end-to-end latency and reliability. To improve scalability, the agent is trained through a curriculum over progressively larger topologies. Simulation results over small to large mesh topologies show that the proposed GNN+DRL routing policy improves the URLLC trade-off compared with both the existing latency-only routing method and the DECT2020 NR flooding procedure. For a representative medium-sized mesh network, it reduces end-to-end latency by up to 19.9%, lowers end-to-end PER by up to 10%, and decreases the number of transmissions per delivered packet compared with the existing approach. Index Terms—DECT-2020 NR, URLLC, routing, deep reinforcement learning, graph neural networks, mesh networks. I. I NTRODUCTION Digital Enhanced Cordless Telecommunications (DECT), standardized by European Telecommunications Standards Institute (ETSI), has evolved into Digital Enhanced Cordless Telecommunications-2020 New Radio (DECT-2020 NR) as a radio interface technology tailored for large-scale, low-power Internet of Things (IoT) and industrial scenarios. Operating in license-exempt spectrum with decentralized scheduling and mesh support, DECT-2020 NR enables self-organizing multihop topologies in which battery-powered radio devices (RDs) may operate in Fixed Termination (FT), Portable Termination (PT), or combined FT/PT modes. The corresponding</t>
  </si>
  <si>
    <t xml:space="preserve">Simulation results indicate that topology-aware learning improves multi-hop URLLC performance over the compared routing baselines.</t>
  </si>
  <si>
    <t xml:space="preserve">Applies topology-aware deep reinforcement learning to multi-hop routing/scheduling decisions for DECT-2020 NR URLLC mesh networks.</t>
  </si>
  <si>
    <t xml:space="preserve">Evaluation is simulation-based; training overhead, generalization, explainability, safety, and hardware inference cost are not established.</t>
  </si>
  <si>
    <t xml:space="preserve">Conventional routing cannot readily adapt to dynamic topology while jointly meeting multi-hop URLLC reliability and latency objectives.</t>
  </si>
  <si>
    <t xml:space="preserve">Evaluation verified: Simulation; Analytical/Modeling. The DRL routing framework is modeled as an MDP and evaluated in simulations.</t>
  </si>
  <si>
    <t xml:space="preserve">Rauwolf et al. - 2026 - Topology-Aware Deep Reinforcement Learning for Multi-Hop URLLC in DECT-2020 NR Mesh Networks.summary.pdf</t>
  </si>
  <si>
    <t xml:space="preserve">Validate on real meshes, use online/domain-adaptive learning, and study robustness, energy, fairness, and safe fallback mechanisms.</t>
  </si>
  <si>
    <t xml:space="preserve">Positioning in DECT-2020 NR with</t>
  </si>
  <si>
    <t xml:space="preserve">—This paper addresses efficient positioning and user device tracking in Internet-of-Things (IoT) networks with particular focus on the new DECT-2020 New Radio standard – the first non-cellular 5G technology standard in the world. Stemming from fundamental performance requirements of IoT networks, for example, related to energy consumption, latency, and reliability, it is important to utilize available radio resources efficiently, while avoiding redundant transmissions and signaling. In this paper, we propose a tracking-based positioning solution with a proactive measurement selection, in which positioning measurements are selected based on Fisher information. The proposed method, accompanied with computationally attractive processing solution, is able to sort and select potential positioning measurements based on achievable minimum positioning error. The provided numerical results, considering both range and angle measurements, show that the proposed method outperforms the traditional signal-tonoise ratio based measurement selection approach, and enables positioning with a smaller number of measurements.</t>
  </si>
  <si>
    <t xml:space="preserve">smaller number of measurements. Index Terms—positioning, DECT-2020 NR, internet- of-things, non-cellular 5G, Fisher information, extended Kalman filter I. I NTRODUCTION To accommodate growing demand on Internet-of-Things (IoT) based services, the new Digital Enhanced Cordless Telecommunications - 2020 New Radio (DECT-2020 NR) [1], [2] was introduced as part of the official International Telecommunication Union (ITU) fifth generation (5G) standards in 2022 [3]. The DECT-2020 NR is the first non-cellular 5G technology, designed especially for IoT use cases with support for 5G performance requirements regarding ultra reliable low latency communications (URLLC) and massive machine type communications (mMTC). Positioning plays an important role in various IoT and wireless sensor network (WSN) systems, as well as related applications and location-based services (LBS) [4]. DECT-2020 NRbased positioning is not yet widely studied due to its technological novelty, but research works focusing on positioning with other IoT systems, or IoT-like scenarios, can be found, for example, in [4]–[9]. In [4], different IoT-based positioning approaches are compared, and classified in a IoT infrastructure applicable framework, while also considering aspects of power consumption and energy efficiency. Furthermore, possible positioning methods for IoT systems are comprehensively discussed in [5], [9], including also comparison between positioning capabilities of different IoT technologies.</t>
  </si>
  <si>
    <t xml:space="preserve">The proposed selection method reduces the required measurement set while maintaining competitive positioning performance.</t>
  </si>
  <si>
    <t xml:space="preserve">Introduces proactive measurement selection for DECT-2020 NR positioning to reduce measurement overhead while preserving positioning accuracy.</t>
  </si>
  <si>
    <t xml:space="preserve">The study relies on simulation/analytical assumptions and does not include a complete hardware positioning testbed or mobility campaign.</t>
  </si>
  <si>
    <t xml:space="preserve">Collecting all available measurements is costly and inefficient in dense networks, while selection strategies tailored to DECT-2020 NR were limited.</t>
  </si>
  <si>
    <t xml:space="preserve">Evaluation verified: Simulation; Analytical/Modeling. The positioning method is analytical and assessed through simulations; the summary does not show a physical hardware testbed.</t>
  </si>
  <si>
    <t xml:space="preserve">Saikko et al. - 2024 - Positioning in DECT-2020 NR with Proactive Measurement Selection.summary.pdf</t>
  </si>
  <si>
    <t xml:space="preserve">Validate with real ranging/RSS data, dynamic anchors, NLoS detection, mobility, synchronization error, and energy constraints.</t>
  </si>
  <si>
    <t xml:space="preserve">Positioning and Tracking in DECT-2020 NR With</t>
  </si>
  <si>
    <t xml:space="preserve">—This article addresses efficient positioning and user device tracking in Internet-of-Things (IoT) networks with particular focus on the new DECT-2020 New Radio standard—the first noncellular 5G technology standard in the world. Stemming from fundamental performance requirements of IoT networks, for example, related to energy consumption, latency, and reliability, it is important to utilize available radio resources efficiently, while avoiding redundant transmissions and signaling. In this article, we extend our earlier proposed tracking-based positioning solution, which utilized Fisher information to select the most beneficial range and angle measurements, to cover also received signal strength (RSS)-based measurements and particle filter-based solutions. By exploiting prior information inherited from trackingbased positioning solutions, it is possible to proactively select the most valuable positioning measurements, and thus save valuable effort and time in acquiring and processing positioning measurements without sacrificing the positioning performance in practice. Through extensive numerical evaluations, considering range, angle, and RSS measurements, we show that the proposed anchor selection method is able to outperform the traditional signal-to-noise ratio-based measurement selection approach, while enabling positioning with a smaller number of measurements. In addition, we illustrate the effect of prior information quality on the proposed method performance by varying the measurement interval in the tracking process. The numerical results show that when only two anchors are utilized, approximately up to 10%–50% reduction in positioning root-mean-square error can be achieved depending on the considered measurement type.</t>
  </si>
  <si>
    <t xml:space="preserve">CCOMMODATING to growing demand on Internet-ofThings (IoT)-based services, the new Digital Enhanced Cordless Telecommunications—2020 New Radio (DECT-2020 NR) [1], [2] was introduced as part of the official International Telecommunication Union (ITU) fifth generation (5G) standards in 2022 [3]. As the first noncellular 5G technology, the DECT-2020 NR is developed especially for IoT use cases with support of ultrareliable low latency communications (URLLC) and massive machine-type communications (mMTC) related performance requirements from 5G. In various IoT and wireless sensor network (WSN) systems, along with related applications and location-based services [4], positioning plays an important and emerging role. Except for a few recent studies, [5], [6], DECT-2020 NR-based positioning has not yet been widely studied due to its technological novelty. Nonetheless, research works focusing on positioning with other IoT systems, or IoT-like scenarios, can be found, for example, in [4], [7], [8], [9], [10], [11], and [12]. In [4], different IoT-based A Received 31 October 2024; revised 16 January 2025; accepted 28 February 2025. Date of publication 11 April 2025; date of current version 29 April 2025. This work was supported by Business Finland under the USWA project. (Corresponding author: Jukka Talvitie.) Antti Saikko, Jukka Talvitie, Joonas Säe, and Mikko Valkama are</t>
  </si>
  <si>
    <t xml:space="preserve">The study demonstrates that proactive multimodal anchor selection can maintain accurate tracking while reducing unnecessary measurements.</t>
  </si>
  <si>
    <t xml:space="preserve">Extends proactive anchor selection to joint range, angle, and RSS positioning/tracking and evaluates it with simulation and experimental measurements.</t>
  </si>
  <si>
    <t xml:space="preserve">Experimental scale, geometry, and environmental diversity are limited; long-term mobility, NLoS, synchronization, and multi-user effects remain open.</t>
  </si>
  <si>
    <t xml:space="preserve">Robust DECT-2020 NR tracking requires efficient fusion and anchor selection across heterogeneous measurement modalities.</t>
  </si>
  <si>
    <t xml:space="preserve">Evaluation verified: Simulation; Experimental/Testbed; Analytical/Modeling. The extended positioning work combines analytical modeling, simulations, and measurement-based/experimental validation.</t>
  </si>
  <si>
    <t xml:space="preserve">Saikko et al. - 2025 - Positioning and Tracking in DECT-2020 NR With Proactive Anchor Selection for Range, Angle, and RSS M.summary.pdf</t>
  </si>
  <si>
    <t xml:space="preserve">Conduct larger mobile trials, improve NLoS robustness, optimize online anchor selection, and integrate positioning with communication scheduling.</t>
  </si>
  <si>
    <t xml:space="preserve">Performance Assessment of DECT-2020 NR and</t>
  </si>
  <si>
    <t xml:space="preserve">—The recently standardized ETSI DECT-2020 New Radio (NR) technology promises to enable operator-independent Internet-of-Things (IoT) services. One of the supported operating bands is the 1880 − 1900 MHz band where IoT devices use one or more 1.728 MHz wide channels for multi-hop communications. It has been shown that such systems scale well to satisfy the requirements of 5G massive machine- type communications (mMTC). During the standardization process, the coexistence with classic DECT technology was addressed but the benefits of different options have not been deeply explored. In this paper, by utilizing system-level simulation techniques we evaluate several coexistence solutions for DECT-2020 and classic DECT systems including conventional listen-before-talk access (LBT), last-minute scan, and scheduling-based mechanisms. Our numerical results illustrate that the standard LBT operation ensures excellent performance with no more than 2% of packet drops for classic DECT, and still results in satisfactory DECT2020 operation under 25% of resources allocated to classic DECT. The use of last-minute-scan leads to drastic performance degradation of DECT-2020 (by more than 10% in terms of packet drops) as compared to the standard LBT-only operation. Finally, a scheduling-based mechanism allows to improve the LBT performance for DECT-2020 devices by 2-5%.</t>
  </si>
  <si>
    <t xml:space="preserve">operation ensures excellent performance with no more than 2% of packet drops for classic DECT, and still results in satisfactory DECT2020 operation under 25% of resources allocated to classic DECT. The use of last-minute-scan leads to drastic performance degradation of DECT-2020 (by more than 10% in terms of packet drops) as compared to the standard LBT-only operation. Finally, a scheduling-based mechanism allows to improve the LBT performance for DECT-2020 devices by 2-5%. Index Terms—DECT-2020; New Radio; IoT; coexistence. I. I NTRODUCTION The amount of services offered by the Internet of Things (IoT) is growing each year spanning all the commercial sectors [1]. To enable connectivity for constantly growing IoT equipment massive machine-type communications (mMTC) technologies are being specified as a part of 5G IMT-2020. NB-IoT and LTE-M are the main mMTC technologies developed by 3GPP to provide cellular IoT (CIoT) connectivity with the former satisfying 5G IMT-2020 requirements [2]. In addition to 3GPP activities, there is an alternative ETSI initiative standardizing non-CIoT 5G mMTC technology. These efforts recently commenced in ETSI DECT-2020 New Radio (NR) standard in 2021 [3]. Current specifications define 19 different operating bands for DECT-2020 NR below 6 GHz, including unlicensed DECT bands [4]. The use of</t>
  </si>
  <si>
    <t xml:space="preserve">The modeled coexistence mechanisms allow DECT-2020 NR and classic DECT to share the band with acceptable performance under the evaluated scenarios.</t>
  </si>
  <si>
    <t xml:space="preserve">Evaluates coexistence mechanisms between DECT-2020 NR and classic DECT through system-level simulation in the shared DECT band.</t>
  </si>
  <si>
    <t xml:space="preserve">Simulation-based results depend on traffic, channel, and device assumptions and are not verified with mixed-technology hardware.</t>
  </si>
  <si>
    <t xml:space="preserve">The practical coexistence impact of introducing DECT-2020 NR into bands occupied by legacy DECT required quantitative assessment.</t>
  </si>
  <si>
    <t xml:space="preserve">Evaluation verified: Simulation. The paper explicitly evaluates coexistence mechanisms using system-level simulation.</t>
  </si>
  <si>
    <t xml:space="preserve">Samuylov et al. - 2023 - Performance Assessment of DECT-2020 NR and Classic DECT Coexistence Mechanisms.summary.pdf</t>
  </si>
  <si>
    <t xml:space="preserve">Perform over-the-air coexistence tests with multiple vendors and study dense deployments, asynchronous traffic, and adaptive channel selection.</t>
  </si>
  <si>
    <t xml:space="preserve">Performance of MAC Layer Mechanisms in</t>
  </si>
  <si>
    <t xml:space="preserve">—DECT-2020 is a recently standardized enabling technology for 5G massive machine-type communications operating in the unlicensed band. By relying upon multi-hop communications, DECT-2020 allows for cost-controlled flexible deployments, it requires an efficient solution for topology design, including the relay selection and next-hop selection mechanisms. The goal of this paper is to evaluate the impact of these algorithms on the fraction of successfully delivered packets for DECT-2020 technology. To this aim, we utilize the system- level simulation tool to capture the functionality of the physical and data-link DECT2020 solutions. Our numerical results illustrate that the system is susceptible to the choice of the energy conservation parameters with the difference in the fraction of delivered packets reaching 10% and may effectively lead to non-operational conditions. Without simple analytical models, these parameters must be set with caution. The relay-selection mechanism procedure is generally insensitive to the parameters of the relay selection procedure, resulting in a deviation of at most 3%. Finally, the power control feature gives an additional gain of around 2-4% compared to the system without power control.</t>
  </si>
  <si>
    <t xml:space="preserve">to non-operational conditions. Without simple analytical models, these parameters must be set with caution. The relay-selection mechanism procedure is generally insensitive to the parameters of the relay selection procedure, resulting in a deviation of at most 3%. Finally, the power control feature gives an additional gain of around 2-4% compared to the system without power control. Index Terms—DECT-2020; New Radio; multi-hop; IoT; topology; algorithms; mMTC. I. I NTRODUCTION Internet of Things (IoT) applications are gradually becoming a part of our everyday life, enabling many remote applications from sensing to actuation [1]. Massive machine type communications (mMTC) technologies specified as one of the three primary services for 5G IMT-2020 systems serve as enablers for IoT [2]. Nowadays, NB-IoT technology [3] represents a 3GPP solution for cellular IoT (CIoT, [4]) while the leading non-cellular standard is DECT-2020 [5]. DECT-2020 is the first 5G mMTC enabler operating in the unlicensed frequency band, 1880 − 1900 MHz band in Europe and Australia and 1900 − 1920 MHz band in other regions. The recent studies [6], [7] demonstrated that it can support up to multiple millions of radio devices (RD) per squared kilometer while satisfying the performance guarantees for 5G mMTC applications outlined in [8]</t>
  </si>
  <si>
    <t xml:space="preserve">The study identifies MAC parameter regions and mechanisms that support dense mMTC operation under modeled load conditions.</t>
  </si>
  <si>
    <t xml:space="preserve">Analyzes DECT-2020 NR MAC mechanisms for mMTC, quantifying access and delivery performance under varying network conditions.</t>
  </si>
  <si>
    <t xml:space="preserve">The evaluation is analytical/simulation-based and omits current hardware constraints, implementation processing, and field interference.</t>
  </si>
  <si>
    <t xml:space="preserve">The scalability and efficiency of standardized MAC procedures for dense mMTC traffic needed detailed system-level assessment.</t>
  </si>
  <si>
    <t xml:space="preserve">Evaluation verified: Simulation; Analytical/Modeling. The study uses a system-level simulation tool and supporting analytical models.</t>
  </si>
  <si>
    <t xml:space="preserve">Samuylov et al. - 2024 - Performance of MAC Layer Mechanisms in DECT-2020 NR mMTC Technology.summary.pdf</t>
  </si>
  <si>
    <t xml:space="preserve">Validate on large testbeds and investigate adaptive access, scheduling, congestion control, energy, and heterogeneous traffic.</t>
  </si>
  <si>
    <t xml:space="preserve">Empowering Near-URLLC IoT with 5G DECT2020 NR: Current State and the Road Ahead</t>
  </si>
  <si>
    <t xml:space="preserve">DECT-2020 is a standardized multi-hop technology for 5G massive machine-type communications (mMTC). By relying on multi-hop communications, DECT-2020 allows for cost-controlled flexible deployments that enable a plethora of new services, whose requirements in terms of latency, reliability, and throughput are difficult to satisfy by utilizing cellular Internet-ofThings technologies (CIoT). In this article, we outline new DECT-2020 use-cases ranging from mMTC to ultra-reliable low-latency communications (URLLC), showing that many modern services lie between these two extremes. We utilize system level simulations to demonstrate how these “near-URLLC” use-cases are satisfied by the DECT-2020. We show that the current evolution of DECT-2020 can provide near-URLLC operation when no multi-hop communications are required, even under interference from competing URLLC/ mMTC traffic. However, provisioning of nearURLLC services over multiple hops requires additional enhancements.</t>
  </si>
  <si>
    <t xml:space="preserve">The main services specified by ITU-R and 3GPP for 5G systems are enhanced mobile broadband (eMBB), massive machine type communications (mMTC), and ultra-reliable low-latency communications (URLLC). The eMBB service has already been supported by the current evolution of 3GPP 5G New Radio (NR) systems. The mMTC is expected to be delivered via cellular Internet of Things (CIoT) solutions such as LTE-M enhancements for machine type communications (eMTC) and Narrowband Internet-of- Things (NB-IoT), as well as unlicensed band solutions, such as DECT2020. However, the support for URLLC IoT services lags behind. DECT-2020 NR is a 5G technology developed for mMTC and URLLC operating in the license-exempt and licensed bands below 6 GHz in local self-hosted deployments [1]. Recent studies [2, 3] demonstrated that it can support up to multiple millions of radio devices (RDs) per square kilometer while satisfying the performance guarantees ISSN: 0163-6804 Digital Object Identifier: 10.1109/MCOM.00</t>
  </si>
  <si>
    <t xml:space="preserve">The paper concludes that current mechanisms can approach URLLC requirements but require targeted MAC and system enhancements for robust multi-hop operation.</t>
  </si>
  <si>
    <t xml:space="preserve">Reviews the current DECT-2020 NR capability for near-URLLC and outlines protocol mechanisms and research steps required to strengthen support.</t>
  </si>
  <si>
    <t xml:space="preserve">The article is partly perspective/survey based; supporting evidence is drawn from selected simulations rather than a unified experimental campaign.</t>
  </si>
  <si>
    <t xml:space="preserve">A consolidated roadmap connecting current DECT-2020 NR mechanisms to near-URLLC limitations and future enhancements was missing.</t>
  </si>
  <si>
    <t xml:space="preserve">Evaluation verified: Simulation; Survey/Overview. The article is a state-of-the-art/road-ahead overview supported by system-level simulations.</t>
  </si>
  <si>
    <t xml:space="preserve">Samuylov et al. - 2025 - Empowering Near-URLLC IoT with 5G DECT-2020 NR Current State and the Road Ahead.summary.pdf</t>
  </si>
  <si>
    <t xml:space="preserve">Develop scheduled multi-hop access, improved prioritization, real testbeds, deterministic networking integration, and industrial validation.</t>
  </si>
  <si>
    <t xml:space="preserve">Performance of DECT-2020 NR and FCC-Based</t>
  </si>
  <si>
    <t xml:space="preserve">—DECT-2020 NR is a recently standardized radio access technology (RAT) for massive machine-type 5G communications operating in the license-exempt and licensed bands. By relying on multi-hop communications and listen-before-talk (LBT) medium access, DECT-2020 NR allows for cost-controlled flexible deployments. However, the medium access procedures for some of the bands currently used by classic DECT systems are strictly regulated by long-standing policies in the USA. The goal of this study was to evaluate and compare the performance of DECT-2020 NR and medium access specified by the Federal Communications Commission (FCC) for the Unlicensed Personal Communications Service (UPCS) band. Our results demonstrate that in a mesh system, the use of FCC access rules leads to drastic performance degradation, resulting in less than 85% of delivered packets compared to 98-99% for DECT-2020 NR. This results in a slight 1-2% degradation for coexisting classic DECT devices. For efficient use of the UPCS band, we recommend revisiting current FCC rules, allowing for LBT-based operations.</t>
  </si>
  <si>
    <t xml:space="preserve">85% of delivered packets compared to 98-99% for DECT-2020 NR. This results in a slight 1-2% degradation for coexisting classic DECT devices. For efficient use of the UPCS band, we recommend revisiting current FCC rules, allowing for LBT- based operations. Index Terms—DECT-2020 NR; NR+; New Radio; multi-hop; IoT; topology; algorithms; mMTC. I. I NTRODUCTION Internet of Things (IoT) applications are already tightly integrated into our daily lives, enabling a wide range of remote functions from sensing to actuation [1]. Massive machine- type communication (mMTC) technologies, as a core component of 5G IMT-2020 systems, provide essential support for IoT [2]. NB-IoT [3] is a 3GPP- standardized solution for cellular IoT (CIoT) [4], whereas DECT-2020 NR [5] leads the way for non-cellular IoT standards. DECT-2020 NR is the pioneering 5G mMTC enabler operating in the unlicensed frequency band: 1880-1900 MHz in Europe and Australia, and 1900-1920 MHz in other regions. Recent research [6], [7] has demonstrated its capacity to support millions of radio devices (RDs) per square kilometer, while meeting the performance requirements for 5G mMTC applications outlined in [8]. These requirements include a packet loss rate (PLR) of less than 0.05% and an end-toend latency of no more than 10 seconds for 99% of</t>
  </si>
  <si>
    <t xml:space="preserve">The study quantifies performance differences between DECT-2020 NR and the compared FCC-based mesh approach under common modeled scenarios.</t>
  </si>
  <si>
    <t xml:space="preserve">Compares DECT-2020 NR with FCC-oriented mesh IoT systems operating in DECT-related spectrum through system-level simulation.</t>
  </si>
  <si>
    <t xml:space="preserve">Simulation assumptions may not capture commercial implementations, regulatory details, interference, and heterogeneous hardware.</t>
  </si>
  <si>
    <t xml:space="preserve">Comparative evidence across regulatory/technology alternatives for mesh IoT operation in DECT bands was limited.</t>
  </si>
  <si>
    <t xml:space="preserve">Evaluation verified: Simulation. The paper compares DECT-2020 NR and FCC medium access using simulation results; no real testbed is stated.</t>
  </si>
  <si>
    <t xml:space="preserve">Samuylov et al. - 2025 - Performance of DECT-2020 NR and FCC-Based Mesh IoT Systems in DECT Bands.summary.pdf</t>
  </si>
  <si>
    <t xml:space="preserve">Perform cross-technology testbed measurements and study coexistence, spectrum access, energy, and deployment economics.</t>
  </si>
  <si>
    <t xml:space="preserve">International Workshop on 5G and Future Wireless Technology</t>
  </si>
  <si>
    <t xml:space="preserve">PHY; MAC; Scheduling/Resource Allocation; Routing/Mesh; Positioning/Localization; Modeling/Analytical</t>
  </si>
  <si>
    <t xml:space="preserve">—All the candidate technologies submitted to the ITUR are expected to meet the minimum performance requirements for getting recommended as IMT-2020. This paper considered a submission for digital enhanced cordless telecommunication new radio (DECT-2020 NR) technology evaluation. We proposed various approaches for relay selection, channel/frequency allocation for the relay and device association with relays for massive machine type communication (mMTC) scenario based on DECT2020 NR specifications. These approaches are compared based on SINR received by the users. Simulation results conclude that the angles based approach is the most optimal method for relay selection and device association. For an average percentile of users, a difference of 7dB can be observed between the worst and best approach.</t>
  </si>
  <si>
    <t xml:space="preserve">communication (mMTC) scenario based on DECT2020 NR specifications. These approaches are compared based on SINR received by the users. Simulation results conclude that the angles based approach is the most optimal method for relay selection and device association. For an average percentile of users, a difference of 7dB can be observed between the worst and best approach. Index Terms—5G, digital enhanced cordless telecommunication (DECT), massive machine type communication (mMTC). I. I NTRODUCTION The international telecommunication union radiocommunication sector (ITU-R) has set the requirements for the international mobile telecommunications-2020 (IMT-2020) for serving the future demands such as accommodating more traffic, massive devices connectivity, enhanced quality of service, and better affordability through cost reduction [1]. The requirements for some key performance indicators (KPI’s) for radio access technologies (RAT) have been adopted in ITU-R report M.2410 in November 2017 [2]. 3GPP has developed RAT’s such as NR, Long term evolution - machine type communication (LTE-M) and narrowband - Internet of things (NB-IoT) which together meet all the requirements set by the ITU [3]. Additionally, several other organizations such as China, Korea, the European telecommunications standards institute (ETSI)-digital enhanced cordless telecommunications (DECT) Forum, enhanced ultra high throughput (EUHT), etc., This work is supported by</t>
  </si>
  <si>
    <t xml:space="preserve">The assessment shows that multi-hop assistance can improve coverage and support the evaluated mMTC performance requirements.</t>
  </si>
  <si>
    <t xml:space="preserve">Provides a system-level assessment of multi-hop-assisted DECT-2020 NR for the mMTC use case, including density and relaying behavior.</t>
  </si>
  <si>
    <t xml:space="preserve">Simulation-only assessment with simplified deployment, traffic, and relaying assumptions; hardware and real interference are absent.</t>
  </si>
  <si>
    <t xml:space="preserve">Candidate-technology evaluation needed system-level evidence that multi-hop assistance can satisfy dense mMTC requirements.</t>
  </si>
  <si>
    <t xml:space="preserve">Evaluation verified: Simulation. The proposed relay/channel-allocation approaches are compared using simulation.</t>
  </si>
  <si>
    <t xml:space="preserve">Singhwi et al. - 2021 - DECT-2020 New Radio System Level Assessment for Multi-Hop Assisted mMTC usage Scenario.summary.pdf</t>
  </si>
  <si>
    <t xml:space="preserve">Validate on large meshes and study adaptive routing, scheduling, mobility, energy, and heterogeneous traffic.</t>
  </si>
  <si>
    <t xml:space="preserve">ETSI/DECT-2020 Component RIT Technology</t>
  </si>
  <si>
    <t xml:space="preserve">PHY; MAC; Routing/Mesh; Positioning/Localization; Modeling/Analytical</t>
  </si>
  <si>
    <t xml:space="preserve">—We propose a comprehensive evaluation of ETSI/DECT-2020 New Radio (NR) as an IMT-2020 candidate technology for the mMTC (connection density) and URLLC (reliability) use cases. Several independent evaluation groups assessed DECT-2020 NR performance against the IMT-2020 requirements and INRS played a key role within the Canadian Evaluation Group (CEG) in evaluating the technology via simulation. In order to develop 5G link- and system-level simulators, it is necessary to identify and understand all key characteristics of DECT technology. Nevertheless, the mMTC use case offers D2D communications, which made simulation analysis extremely cumbersome. In this paper, we also explain the different maneuvers in order to fasten the simulations and reduce complexity while respecting all DECT specifications. Simulation results provided from link- and system-level simulations for both URLLC and mMTC use cases show that DECT-2020 component RIT meets the IMT-2020 requirements.</t>
  </si>
  <si>
    <t xml:space="preserve">from link- and system-level simulations for both URLLC and mMTC use cases show that DECT-2020 component RIT meets the IMT-2020 requirements. Index Terms—5G; ETSI/DECT; Technology evaluation; Connection density (mMTC); Reliability (URLLC); D2D; channel mismatch; implementation impairments; channels estimation errors; synchronization; localization; direction-of-arrival (DoA) I. I NTRODUCTION The International Telecommunication Union Radiocommunication sector (ITU-R) has set the requirements for International Mobile Telecommunications-2020 (IMT-2020 5G Standard). With the rise of new wireless communications, artificial intelligence, and big data, several enabling radio technologies standardized by different standardization organisms such as 3GPP and ETSI have been proposed within the ITU-R Working Party 5D. The European telecommunications standards Institute (ETSI)-digital enhanced cordless telecommunications (DECT) Forum was submitted to ITU-R; claiming to have met the minimum technology requirements that need to be fulfilled in order to pass [1]. Independent evaluation groups (IEG) participated in evaluating DECT submission involving Ultra Reliable Low Latency Communications (URLLC) and massive Machine Type Communications (mMTC) and INRS took part of the process within the Canadian evaluation group (CEG) using guidelines for the evaluation process in [2]. The DECT evaluation also garnered the attention of the research community and led to several evaluation publications [3]–[6]. The DECT-2020 NR offers star and mesh</t>
  </si>
  <si>
    <t xml:space="preserve">The reported evaluation supports DECT-2020 NR's compliance with assessed mMTC and URLLC criteria.</t>
  </si>
  <si>
    <t xml:space="preserve">Summarizes DECT-2020 component-RIT implementation and evaluation contributions for mMTC and URLLC candidate-technology assessment.</t>
  </si>
  <si>
    <t xml:space="preserve">Results rely mainly on simulation/analysis from the candidate evaluation process and provide limited public reproducibility and hardware evidence.</t>
  </si>
  <si>
    <t xml:space="preserve">The implementation assumptions and evidence supporting DECT-2020 NR's IMT-2020 evaluation needed consolidated documentation.</t>
  </si>
  <si>
    <t xml:space="preserve">Evaluation verified: Simulation; Analytical/Modeling. The candidate-technology evaluation is conducted through link- and system-level simulation and analytical interpretation.</t>
  </si>
  <si>
    <t xml:space="preserve">Smida et al. - 2023 - ETSIDECT-2020 Component RIT Technology Implementation and Evaluation Contributions in mMTC and URLL.summary.pdf</t>
  </si>
  <si>
    <t xml:space="preserve">Release reproducible models and validate with commercial testbeds, updated standards, and realistic mixed-service scenarios.</t>
  </si>
  <si>
    <t xml:space="preserve">On Performance of multi-hop assisted mMTC</t>
  </si>
  <si>
    <t xml:space="preserve">—Digital enhanced cordless telecommunication new radio (DECT-2020 NR) is one of the candidate technology which fulfils the minimum requirements to serve as fifth-generation (5G) standardization. It accomplishes one of the performance requirements for massive machine-type communications (mMTC) by enabling a high connection density, i.e. up to 1-million devices/km2 . Reliable communication over such massive connections is achieved through a multi-hop relay system. This paper analyzes the link-level performance of DECT-2020 NR standards for mMTC using a multi-hop decode-and-forward (DF) relaying system for the outage probability and bit error rate (BER) performance metrics. Simulation results show the performance improvement in outage probability over various transmission rates, hops and signal-to-interference-plus-noise ratio (SINR). The numerical results corroborate with Monte-Carlo simulation results. Also, the link performance in terms of BER is compared for Turbo codes with puncturing.</t>
  </si>
  <si>
    <t xml:space="preserve">MHz with a bandgap of 1728kHz [6]. Similar to NR, DECT2020 NR also provides a subcarrier scaling factor (µ) ranges {1, 2, 4, 8} results in subcarrier spacing {27, 54, 108, 216} kHz, respectively. Also, it provides the mesh network topology to connect multiple radio devices via fixed terminating (FT) point [7]. For reliable communication over a densely populated devices, the cooperative relaying technique results in the enhancement of quality of service (QoS) [8]. Outage probability (OP) is also one of the performance metrics to investigate the QoS. Literature shows that the analytical expression of outage probability has been derived over various fading environments [9], [10]. Authors in [11], [12] analyzed the performance in terms of outage probability for the decode-and- forward (DF) system over the Nakagami-m fading channel. Authors in [13], [14] investigated the performance of the multi-hop system over the generalized-K and fluctuating two-ray fading channels, respectively and showed the asymptotic outage probability. Also, authors in [14] showed the ASER performance of aforesaid multi-hop system. Bit error rate (BER) performance over NR specifications is investigated in [15] over multiple interfering devices. Based on the above-described research of multi-hop DF system, we used the inherent merits of relaying communication for</t>
  </si>
  <si>
    <t xml:space="preserve">Results indicate that multi-hop assistance improves the modeled mMTC performance relative to direct communication in challenging coverage conditions.</t>
  </si>
  <si>
    <t xml:space="preserve">Analyzes multi-hop-assisted mMTC performance for DECT-2020 NR, focusing on link reliability and network gains from relaying.</t>
  </si>
  <si>
    <t xml:space="preserve">The study uses analytical/simulation models without real-device validation; routing overhead, interference, and mobility are simplified.</t>
  </si>
  <si>
    <t xml:space="preserve">The benefits and limits of multi-hop assistance for dense mMTC had not been fully quantified for the DECT-2020 NR candidate system.</t>
  </si>
  <si>
    <t xml:space="preserve">Evaluation verified: Simulation; Analytical/Modeling. The multi-hop performance study presents analytical outage/BER analysis and simulation results.</t>
  </si>
  <si>
    <t xml:space="preserve">Soni et al. - 2021 - On Performance of multi-hop assisted mMTC for DECT-2020 New Radio System.summary.pdf</t>
  </si>
  <si>
    <t xml:space="preserve">Evaluate dynamic routing, hardware implementation, energy, mobility, and large-scale interference.</t>
  </si>
  <si>
    <t xml:space="preserve">Link-Level Assessment of NOMA Aided Multi-hop</t>
  </si>
  <si>
    <t xml:space="preserve">—Digital enhanced cordless telecommunication-2020 new radio (DECT-2020 NR) is an essential part of the fifth generation (5G) standards proposed by the international telecommunication union (ITU). With an achievable density of approximately one million connections per square km, it is a potential candidate which promises to fill in the actual gap in the wireless internet of things (IoT) market for the massive machine-type communications (mMTC). In this paper, we explore a non-orthogonal multiple access (NOMA) assisted cooperative multi- hop (MH) relaying system for DECT-2020 NR system for mMTC applications. The use of cooperative multi-hop (MH) relaying system allows a reliable long-haul communication system and further the use of NOMA scheme helps in achieving a better spectral efficiency and massive connectivity. The link level evaluation of the proposed system is carried out for the proposed NOMA aided MH DECT-2020 NR system and further error rate analysis is presented in terms of outage probability and the bit error rate (BER). Monte-Carlo simulations further corroborate the correctness of the analytical findings.</t>
  </si>
  <si>
    <t xml:space="preserve">achieving a better spectral efficiency and massive connectivity. The link level evaluation of the proposed system is carried out for the proposed NOMA aided MH DECT-2020 NR system and further error rate analysis is presented in terms of outage probability and the bit error rate (BER). Monte-Carlo simulations further corroborate the correctness of the analytical findings. Index Terms—Decode-and- forward, digital enhanced cordless telecommunication-2020 new radio, massive machine-type communication, multi-hop, non-orthogonal multiple access. I. I NTRODUCTION Fifth-generation (5G) communication systems aim to achieve high data rates, reliability, and energy efficiency with massive connectivity. One of the salient features of 5G communication, i.e., massive machine-type communication (mMTC), is an area where failure is not an option and could put at risk the complete automation processes, critical infrastructure, livelihoods, if not lives themselves. Digital enhanced cordless telecommunication-2020 new radio (DECT-2020 NR) as a part of 5G standards promises to fulfil all the gaps in the wireless internet of things (IoT) industry and supports one million connections per square km to support mMTC [1]–[3]. The mMTC scenario encompasses ad-hoc wireless networks, device-to-device connectivity, wireless sensor netThis work is supported by 5G India Forum (5GIF) Independent Evaluation Group (IEG) for IMT-2020: 5GIF is associated with COAI,</t>
  </si>
  <si>
    <t xml:space="preserve">The evaluated NOMA-assisted scheme improves outage/BER-related performance over the compared conventional multi-hop configuration.</t>
  </si>
  <si>
    <t xml:space="preserve">Proposes and evaluates NOMA-assisted multi-hop DECT-2020 NR at link level to improve mMTC outage and error performance.</t>
  </si>
  <si>
    <t xml:space="preserve">Link-level analytical/simulation study; receiver complexity, SIC error propagation, MAC integration, hardware feasibility, and network-wide fairness are not tested.</t>
  </si>
  <si>
    <t xml:space="preserve">Orthogonal DECT-2020 NR multi-hop links may not fully exploit shared resources, while the value of NOMA had not been assessed.</t>
  </si>
  <si>
    <t xml:space="preserve">Evaluation verified: Simulation; Analytical/Modeling. The NOMA multi-hop assessment combines analytical link-level analysis and simulations.</t>
  </si>
  <si>
    <t xml:space="preserve">Soni et al. - 2023 - Link-Level Assessment of NOMA Aided Multi-hop DECT-2020 New Radio for mMTC Applications.summary.pdf</t>
  </si>
  <si>
    <t xml:space="preserve">Prototype NOMA reception, integrate it with MAC/routing, and evaluate multi-user interference, energy, fairness, and realistic channels.</t>
  </si>
  <si>
    <t xml:space="preserve">Wireless Communication (Short Range and Long</t>
  </si>
  <si>
    <t xml:space="preserve">PHY; MAC; Routing/Mesh; Positioning/Localization</t>
  </si>
  <si>
    <t xml:space="preserve">9.1 9.1.1 9.1.2 9.1.3 9.1.4</t>
  </si>
  <si>
    <t xml:space="preserve">. . . . . . . . . . . . . . . . . . . . . . . . . . . . . . . . . . . . . . . . . . . . . . . IoT Protocol Classiﬁcation . . . . . . . . . . . . . . . . . . . . . . . . . . . . . . . . . IoT Messaging Protocols . . . . . . . . . . . . . . . . . . . . . . . . . . . . . . . . . . . General Network Classiﬁcation . . . . . . . . . . . . . . . . . . . . . . . . . . . . Chapter Organization . . . . . . . . . . . . . . . . . . . . . . . . . . . . . . . . . . . . . . . 165 166 167 167 167 9.2 Ethernet</t>
  </si>
  <si>
    <t xml:space="preserve">The chapter positions DECT-2020 NR among short-range and LPWAN alternatives but does not present a dedicated performance evaluation.</t>
  </si>
  <si>
    <t xml:space="preserve">Provides a broad textbook-style overview of short- and long-range wireless communication technologies, including LPWAN and DECT-2020 NR.</t>
  </si>
  <si>
    <t xml:space="preserve">Not a focused DECT-2020 NR research study and contains no original DECT-specific experimental or simulation contribution.</t>
  </si>
  <si>
    <t xml:space="preserve">Readers need a consolidated overview of heterogeneous IoT connectivity options and their protocol families.</t>
  </si>
  <si>
    <t xml:space="preserve">Evaluation verified: Survey/Overview. This is a handbook/chapter-style overview; the supplied summary contains no original evaluation evidence.</t>
  </si>
  <si>
    <t xml:space="preserve">Stiller et al. - 2024 - Wireless Communication (Short Range and Long Range incl. LPWAN).summary.pdf</t>
  </si>
  <si>
    <t xml:space="preserve">Use focused empirical comparisons to update technology trade-offs as DECT NR+ products mature.</t>
  </si>
  <si>
    <t xml:space="preserve">—As there are no publications regarding the performance of DECT-2020 NR in real- life scenarios yet, this work constitutes a first performance assessment of DECT-2020 NR in the 450, 1350 and 3700 MHz frequency bands at different numerologies with bandwidths ranging from 1.728 to 13.824 MHz. To show the benefits of DECT-2020 NR, it is compared to classic DECT in a Rayleigh fading channel. In the course of this evaluation, performance metrics such as Bit Error Rate (BER) and Packet Error Rate (PER) were considered. Furthermore, MATLAB- generated DECT-2020 NR packets were transmitted utilizing GNU Radio and Ettus USRPs. The measurements were conducted in an industrial production line. Overall, the packet error rates were found to be the best at 450 MHz, with a packet loss of less than 5 %. At 1350 MHz, a packet error rate of 15 % was observed, whereas at 3700 MHz, a maximum value of 10 % was recorded. The differences in PER for the different frequencies are attributed to the internal losses at higher frequencies in the used USRP B210s. Another aspect of this work focuses on characterizing the indoor channel of the production line using OFDM- based channel sounding. On average, an RMS delay spread of 65 ns was measured for a bandwidth of 13.824 MHz in the selected frequency bands.</t>
  </si>
  <si>
    <t xml:space="preserve">bandwidths by adjusting the transmission numerology consisting of the subcarrier and Fourier transform scaling factors µ and β, respectively. The technology can achieve bandwidths between 1.782 and 221.184 MHz. Moreover, the standard allows a license-exempt operation in the DECT frequency band (1880 to 1900 MHz in the EU) which at the moment is exclusively available to classic DECT devices (e.g., telephones). Constituting an IMT-2020 technology, operation in the IMT frequency bands below 6 GHz is also possible. In this paper, the performance of DECT-2020 NR is evaluated in frequencies which are approved in Germany for the PMSE sector (470 and 1350 MHz) and for the campus networks (3700 MHz) by utilizing different numerologies. Since a maximum bandwidth of 20 MHz is specified for wideband audio systems [3], the bandwidth is limited to 13.824 MHz in the measurement setup, as this is the closest possible bandwidth in DECT2020 NR. The measurements were conducted in an industrial environment by using two USRP B210 Software-Defined Radios (SDR). Moving the receiver during the measurements introduces a time-varying channel. Additionally, the wireless doubly-selective channel is measured by using the setup as a channel sounder. Abstract—As there are no publications regarding the performance of DECT-2020 NR</t>
  </si>
  <si>
    <t xml:space="preserve">Simulation and SDR measurements demonstrate band- and environment-dependent performance and provide practical guidance for industrial DECT-2020 NR deployment.</t>
  </si>
  <si>
    <t xml:space="preserve">Combines industrial-channel simulation and GNU Radio/USRP measurements to evaluate DECT-2020 NR performance across RF bands in a production environment.</t>
  </si>
  <si>
    <t xml:space="preserve">The study covers selected industrial sites, bands, and SDR configurations; commercial modem behavior, larger networks, mobility, and long-term interference are not fully assessed.</t>
  </si>
  <si>
    <t xml:space="preserve">Practical evidence on how DECT-2020 NR behaves across frequency bands and realistic industrial channels was limited.</t>
  </si>
  <si>
    <t xml:space="preserve">Evaluation verified: Simulation; Experimental/Testbed. The paper includes simulated Rayleigh-channel comparison and real GNU Radio/USRP measurements on an industrial production line.</t>
  </si>
  <si>
    <t xml:space="preserve">Waßmann et al. - 2024 - Performance of DECT-2020 NR in an industrial environment for varying RF bands.summary.pdf</t>
  </si>
  <si>
    <t xml:space="preserve">Extend to commercial devices, multiple factories, mobile machinery, multi-node traffic, coexistence, and long-duration measurements.</t>
  </si>
  <si>
    <t xml:space="preserve">INSECT_2026_India.pdf</t>
  </si>
  <si>
    <t xml:space="preserve">Include</t>
  </si>
  <si>
    <t xml:space="preserve">Hardware/Experimental; MAC/Scheduling; Industrial/Testbed/Application</t>
  </si>
  <si>
    <t xml:space="preserve">Quantify how UL/DL scheduling behavior and implementation-specific RX–TX turnaround contribute to end-to-end latency in practical DECT-2020 NR star networks.</t>
  </si>
  <si>
    <t xml:space="preserve">Two Nordic nRF9151 nodes were configured as FT and PT. GPIO timing markers captured with a digital storage oscilloscope were combined with internal modem timing measurements. Sequential and grouped uplink scheduling scenarios were analyzed in a controlled laboratory setup.</t>
  </si>
  <si>
    <t xml:space="preserve">The measured RX–TX turnaround was approximately 850 µs, nearly two DECT-2020 NR slots. Latency increased approximately linearly with the number of UL transmissions, and grouping traffic reduced scheduling overhead but did not remove hardware-induced turnaround latency.</t>
  </si>
  <si>
    <t xml:space="preserve">Provides the first measurement-driven decomposition of DECT-2020 NR scheduling latency and single-transceiver RX–TX turnaround using nRF9151 hardware, DSO measurements, and modem timing.</t>
  </si>
  <si>
    <t xml:space="preserve">The study uses a two-node short-range laboratory setup with strong RF attenuation/leakage coupling, one hardware platform, and controlled traffic. It does not evaluate coverage, interference, mobility, large-scale multi-user operation, or statistical latency variation across deployments.</t>
  </si>
  <si>
    <t xml:space="preserve">Prior DECT-2020 NR evaluations mainly reported aggregate latency and did not isolate hardware-induced RX–TX switching delay or its interaction with UL/DL scheduling.</t>
  </si>
  <si>
    <t xml:space="preserve">Original full paper presented at INSECT 2026; proceedings pending.</t>
  </si>
  <si>
    <t xml:space="preserve">Evaluate larger multi-node deployments and additional hardware, develop turnaround-aware schedulers, and investigate separate UL/DL resources or multi-chain transceiver architectures.</t>
  </si>
  <si>
    <t xml:space="preserve">Paper ID</t>
  </si>
  <si>
    <t xml:space="preserve">Authors</t>
  </si>
  <si>
    <t xml:space="preserve">Year</t>
  </si>
  <si>
    <t xml:space="preserve">Title/File</t>
  </si>
  <si>
    <t xml:space="preserve">Publication Type</t>
  </si>
  <si>
    <t xml:space="preserve">Primary Contribution</t>
  </si>
  <si>
    <t xml:space="preserve">Research Category (Multi-label)</t>
  </si>
  <si>
    <t xml:space="preserve">DOI</t>
  </si>
  <si>
    <t xml:space="preserve">Venue/Publisher</t>
  </si>
  <si>
    <t xml:space="preserve">Country</t>
  </si>
  <si>
    <t xml:space="preserve">Institution</t>
  </si>
  <si>
    <t xml:space="preserve">Citation Count</t>
  </si>
  <si>
    <t xml:space="preserve">Audit Status</t>
  </si>
  <si>
    <t xml:space="preserve">Ahmad et al.</t>
  </si>
  <si>
    <t xml:space="preserve">Ahmad et al. - 2024 - MAC Protocol for Reducing Outage Probability in DECT-20...</t>
  </si>
  <si>
    <t xml:space="preserve">Seventeenth International Workshop on Selected Topics in Mobile and Wireless ...</t>
  </si>
  <si>
    <t xml:space="preserve">Conference Paper</t>
  </si>
  <si>
    <t xml:space="preserve">MAC Protocol</t>
  </si>
  <si>
    <t xml:space="preserve">Final cross-sheet consistency verified</t>
  </si>
  <si>
    <t xml:space="preserve">Ahmad et al. - 2025 - MAC-Layer Protocol for Ultra-Reliable Multi-Hop Communi...</t>
  </si>
  <si>
    <t xml:space="preserve">2025 21th International Conference on Wireless and Mobile Computing, Networki...</t>
  </si>
  <si>
    <t xml:space="preserve">PHY; MAC; Routing/Mesh; Positioning/Localization; Industrial/Testbed/Applicat...</t>
  </si>
  <si>
    <t xml:space="preserve">Alam et al.</t>
  </si>
  <si>
    <t xml:space="preserve">Alam et al. - 2026 - DL Routing Performance in DECT-2020 NR Massive Mesh Netw...</t>
  </si>
  <si>
    <t xml:space="preserve">Routing Performance</t>
  </si>
  <si>
    <t xml:space="preserve">Asif et al.</t>
  </si>
  <si>
    <t xml:space="preserve">Routing Optimization</t>
  </si>
  <si>
    <t xml:space="preserve">Simulation + Analytical/Optimization</t>
  </si>
  <si>
    <t xml:space="preserve">Asif et al. - 2025 - URLLC-Based Multi-Hop Communication Using DECT-2020 NR.s...</t>
  </si>
  <si>
    <t xml:space="preserve">Atiq et al.</t>
  </si>
  <si>
    <t xml:space="preserve">Contextual</t>
  </si>
  <si>
    <t xml:space="preserve">Standardization/Overview</t>
  </si>
  <si>
    <t xml:space="preserve">Atiq et al. - 2022 - When IEEE 802.11 and 5G Meet Time-Sensitive Networking.s...</t>
  </si>
  <si>
    <t xml:space="preserve">Baheti and Khunteta</t>
  </si>
  <si>
    <t xml:space="preserve">Baheti and Khunteta - 2026 - Priority-aware Radio Resource Scheduling for mMT...</t>
  </si>
  <si>
    <t xml:space="preserve">PHY; MAC; Scheduling/Resource Allocation; Routing/Mesh; Industrial/Testbed/Ap...</t>
  </si>
  <si>
    <t xml:space="preserve">Bandara</t>
  </si>
  <si>
    <t xml:space="preserve">Bandara - 2025 - Experimental validation and analysis of the performance of D...</t>
  </si>
  <si>
    <t xml:space="preserve">Thesis</t>
  </si>
  <si>
    <t xml:space="preserve">Experimental PHY Evaluation</t>
  </si>
  <si>
    <t xml:space="preserve">PHY; Experimental measurement</t>
  </si>
  <si>
    <t xml:space="preserve">Bin Asif et al.</t>
  </si>
  <si>
    <t xml:space="preserve">Bin Asif et al. - 2025 - IRS-Assisted DECT-2020 NR Framework for Ensuring URL...</t>
  </si>
  <si>
    <t xml:space="preserve">Eighteen International Workshop on Selected Topics in Mobile and Wireless Com...</t>
  </si>
  <si>
    <t xml:space="preserve">IRS-Assisted Architecture and Resource Allocation</t>
  </si>
  <si>
    <t xml:space="preserve">Simulation + Analytical/Modeling</t>
  </si>
  <si>
    <t xml:space="preserve">Biswas et al.</t>
  </si>
  <si>
    <t xml:space="preserve">Biswas et al. - 2024 - Reliable and Low-Latency Communications for Critical I...</t>
  </si>
  <si>
    <t xml:space="preserve">Dang et al.</t>
  </si>
  <si>
    <t xml:space="preserve">Dang et al. - 2025 - EWDC Integrating DECT-2020 With Wi-Fi for Enhanced Wirel...</t>
  </si>
  <si>
    <t xml:space="preserve">Multi-RAT Architecture</t>
  </si>
  <si>
    <t xml:space="preserve">PHY; MAC; Routing/Mesh; Positioning/Localization; Security/Multi-RAT; Industr...</t>
  </si>
  <si>
    <t xml:space="preserve">Dang et al. - 2026 - Uni-RAT A Unified DECT-2020 NR and Wi-Fi System for 6G M...</t>
  </si>
  <si>
    <t xml:space="preserve">PHY; MAC; Scheduling/Resource Allocation; Routing/Mesh; Positioning/Localizat...</t>
  </si>
  <si>
    <t xml:space="preserve">Dhanwani et al.</t>
  </si>
  <si>
    <t xml:space="preserve">Dhanwani et al. - 2020 - Assessment of Candidate Technology ETSI DECT-2020 Ne...</t>
  </si>
  <si>
    <t xml:space="preserve">Independent IMT-2020 Assessment</t>
  </si>
  <si>
    <t xml:space="preserve">Analytical Assessment</t>
  </si>
  <si>
    <t xml:space="preserve">Dürre and Werner</t>
  </si>
  <si>
    <t xml:space="preserve">Dürre and Werner - 2024 - DECT-2020 NR for Professional Live Audio Design Spa...</t>
  </si>
  <si>
    <t xml:space="preserve">Professional Audio PHY Evaluation</t>
  </si>
  <si>
    <t xml:space="preserve">Fagerholm</t>
  </si>
  <si>
    <t xml:space="preserve">PHY Implementation</t>
  </si>
  <si>
    <t xml:space="preserve">Fedrecheski et al.</t>
  </si>
  <si>
    <t xml:space="preserve">Fedrecheski et al. - 2026 - Mari Responsive Wireless Communication for Low-Po...</t>
  </si>
  <si>
    <t xml:space="preserve">Exclude</t>
  </si>
  <si>
    <t xml:space="preserve">PHY; MAC; Routing/Mesh; Security/Multi-RAT; Industrial/Testbed/Application; M...</t>
  </si>
  <si>
    <t xml:space="preserve">Führling et al.</t>
  </si>
  <si>
    <t xml:space="preserve">Routing Protocol</t>
  </si>
  <si>
    <t xml:space="preserve">PHY; Routing/Mesh; Positioning/Localization; Security/Multi-RAT; Modeling/Ana...</t>
  </si>
  <si>
    <t xml:space="preserve">Führling et al. - 2025 - A Robust Routing Protocol for 5G Mesh Networks.summa...</t>
  </si>
  <si>
    <t xml:space="preserve">Gaidamaka et al.</t>
  </si>
  <si>
    <t xml:space="preserve">Gaidamaka et al. - 2025 - Optimizing Delays in Random Access Procedure of DEC...</t>
  </si>
  <si>
    <t xml:space="preserve">Journal Article</t>
  </si>
  <si>
    <t xml:space="preserve">Random Access Optimization</t>
  </si>
  <si>
    <t xml:space="preserve">Analytical/Modeling + Numerical Evaluation</t>
  </si>
  <si>
    <t xml:space="preserve">Glazkov et al.</t>
  </si>
  <si>
    <t xml:space="preserve">Glazkov et al. - 2025 - Improving Near-URLLC Services Performance Over Multi-...</t>
  </si>
  <si>
    <t xml:space="preserve">Near-URLLC MAC Optimization</t>
  </si>
  <si>
    <t xml:space="preserve">Graf et al.</t>
  </si>
  <si>
    <t xml:space="preserve">Graf et al. - 2026 - A Pareto Optimality Approach for Link Adaptation in DECT...</t>
  </si>
  <si>
    <t xml:space="preserve">PHY Link Adaptation</t>
  </si>
  <si>
    <t xml:space="preserve">Experimental/Testbed + Analytical Optimization</t>
  </si>
  <si>
    <t xml:space="preserve">Practical PHY Benchmark</t>
  </si>
  <si>
    <t xml:space="preserve">Experimental/Testbed + Tutorial/Review</t>
  </si>
  <si>
    <t xml:space="preserve">Graf et al. - 2026 - What to Expect When Using DECT NR+.summary.txt</t>
  </si>
  <si>
    <t xml:space="preserve">Haque et al.</t>
  </si>
  <si>
    <t xml:space="preserve">Haque et al. - 2025 - DECT-2020 NR Link Distance Performance in Varying Envir...</t>
  </si>
  <si>
    <t xml:space="preserve">Propagation and Range Measurement</t>
  </si>
  <si>
    <t xml:space="preserve">Experimental Measurements + Propagation Modeling</t>
  </si>
  <si>
    <t xml:space="preserve">Jahangir</t>
  </si>
  <si>
    <t xml:space="preserve">Jahangir - 2024 - Analysis of the performance of DECT NR+ radio access techno...</t>
  </si>
  <si>
    <t xml:space="preserve">UAV Link Analysis</t>
  </si>
  <si>
    <t xml:space="preserve">Khalili et al.</t>
  </si>
  <si>
    <t xml:space="preserve">Khalili et al. - Bridging Light and Radio Hybrid Network Architectures for Io...</t>
  </si>
  <si>
    <t xml:space="preserve">Architecture</t>
  </si>
  <si>
    <t xml:space="preserve">Kizilirmak and Askarov</t>
  </si>
  <si>
    <t xml:space="preserve">Kizilirmak and Askarov - 2024 - Examination of PHY Layer Features in DECT-202...</t>
  </si>
  <si>
    <t xml:space="preserve">PHY Comparative Evaluation</t>
  </si>
  <si>
    <t xml:space="preserve">Comparative Analysis + BER Simulation</t>
  </si>
  <si>
    <t xml:space="preserve">Kovalchukov et al.</t>
  </si>
  <si>
    <t xml:space="preserve">Kovalchukov et al. - 2022 - DECT-2020 New Radio The Next Step toward 5G Massi...</t>
  </si>
  <si>
    <t xml:space="preserve">Standard Overview and mMTC Evaluation</t>
  </si>
  <si>
    <t xml:space="preserve">System-Level Simulation + Standard Overview</t>
  </si>
  <si>
    <t xml:space="preserve">Leugner and Hellbrueck</t>
  </si>
  <si>
    <t xml:space="preserve">LPWAN Comparative Measurement</t>
  </si>
  <si>
    <t xml:space="preserve">PHY; Routing/Mesh; Positioning/Localization; Industrial/Testbed/Application; ...</t>
  </si>
  <si>
    <t xml:space="preserve">Leugner and Hellbrueck - 2025 - An Alternative to SubGHz for LPWAN.summary.txt</t>
  </si>
  <si>
    <t xml:space="preserve">Liao et al.</t>
  </si>
  <si>
    <t xml:space="preserve">Liao et al. - 2025 - Data Assisted Backscatter Communications Using DECT-2020...</t>
  </si>
  <si>
    <t xml:space="preserve">Ambient Backscatter PHY Integration</t>
  </si>
  <si>
    <t xml:space="preserve">Liu et al.</t>
  </si>
  <si>
    <t xml:space="preserve">Liu et al. - 2025 - Data-Aided Channel Estimation for Robust DECT-2020 NR+ Li...</t>
  </si>
  <si>
    <t xml:space="preserve">2025 7th International Conference on Intelligent Control, Measurement and Sig...</t>
  </si>
  <si>
    <t xml:space="preserve">Channel Estimation</t>
  </si>
  <si>
    <t xml:space="preserve">Llaguno et al.</t>
  </si>
  <si>
    <t xml:space="preserve">Llaguno et al. - 2024 - Physical Layer Performance of DECT-2020 New Radio for...</t>
  </si>
  <si>
    <t xml:space="preserve">Factory PHY Evaluation</t>
  </si>
  <si>
    <t xml:space="preserve">Maliatsos et al.</t>
  </si>
  <si>
    <t xml:space="preserve">Maliatsos et al. - 2022 - Evaluation of the IMT-2020 Candidate Radio Interfac...</t>
  </si>
  <si>
    <t xml:space="preserve">IMT-2020 Evaluation</t>
  </si>
  <si>
    <t xml:space="preserve">Simulation + Analytical Assessment</t>
  </si>
  <si>
    <t xml:space="preserve">Montalvo et al.</t>
  </si>
  <si>
    <t xml:space="preserve">Montalvo et al. - 2024 - DECT Evolution towards Meeting the Requirements for ...</t>
  </si>
  <si>
    <t xml:space="preserve">DECT Evolution and Standard Overview</t>
  </si>
  <si>
    <t xml:space="preserve">Analytical/Review</t>
  </si>
  <si>
    <t xml:space="preserve">Morozova et al.</t>
  </si>
  <si>
    <t xml:space="preserve">Morozova et al. - 2026 - Comparison of Two Models with Non-ordinary Arrival P...</t>
  </si>
  <si>
    <t xml:space="preserve">Queueing/AoI Modeling</t>
  </si>
  <si>
    <t xml:space="preserve">Mudriievskyi et al.</t>
  </si>
  <si>
    <t xml:space="preserve">Mudriievskyi et al. - 2024 - CHEAP 5G DECT NR+ for Tactile Internet With Huma...</t>
  </si>
  <si>
    <t xml:space="preserve">Tactile Internet Prototype</t>
  </si>
  <si>
    <t xml:space="preserve">Ngo</t>
  </si>
  <si>
    <t xml:space="preserve">Ngo - 2025 - IoT device authentication in 5G networks.summary.txt</t>
  </si>
  <si>
    <t xml:space="preserve">Nihtila and Berg</t>
  </si>
  <si>
    <t xml:space="preserve">2022 Joint European Conference on Networks and Communications &amp; 6G Summit (Eu...</t>
  </si>
  <si>
    <t xml:space="preserve">Energy Consumption Modeling</t>
  </si>
  <si>
    <t xml:space="preserve">Nihtila and Berg - 2022 - Energy Consumption of DECT-2020 NR Mesh Networks.su...</t>
  </si>
  <si>
    <t xml:space="preserve">Nihtila and Taipale</t>
  </si>
  <si>
    <t xml:space="preserve">Nihtila and Taipale - 2022 - Energy Saving Router Rotation Protocol for DECT-...</t>
  </si>
  <si>
    <t xml:space="preserve">Energy-Aware Routing</t>
  </si>
  <si>
    <t xml:space="preserve">Nikolaev et al.</t>
  </si>
  <si>
    <t xml:space="preserve">Nikolaev et al. - 2026 - Modeling DECT-2020 as a Tandem Queueing System and I...</t>
  </si>
  <si>
    <t xml:space="preserve">Penner et al.</t>
  </si>
  <si>
    <t xml:space="preserve">Penner et al. - 2021 - Link-Level Performance Evaluation of IMT-2020 Candidat...</t>
  </si>
  <si>
    <t xml:space="preserve">PHY Link-Level Evaluation</t>
  </si>
  <si>
    <t xml:space="preserve">Link-Level Simulation</t>
  </si>
  <si>
    <t xml:space="preserve">Penner et al. - 2021 - URLLC Performance Evaluation of IMT-2020 Candidate Tec...</t>
  </si>
  <si>
    <t xml:space="preserve">URLLC Link/System Evaluation</t>
  </si>
  <si>
    <t xml:space="preserve">Link-Level + System-Level Simulation</t>
  </si>
  <si>
    <t xml:space="preserve">Perez-Guirao et al.</t>
  </si>
  <si>
    <t xml:space="preserve">Perez-Guirao et al. - 2022 - DECT NR+Unveiling the Essentials of a new non-ce...</t>
  </si>
  <si>
    <t xml:space="preserve">Standard Tutorial</t>
  </si>
  <si>
    <t xml:space="preserve">Pires et al.</t>
  </si>
  <si>
    <t xml:space="preserve">Pires et al. - 2026 - DECT-2020 NR for Energy and Power Grid Substation QoS M...</t>
  </si>
  <si>
    <t xml:space="preserve">Energy Grid Testbed</t>
  </si>
  <si>
    <t xml:space="preserve">Poets and WaÃ</t>
  </si>
  <si>
    <t xml:space="preserve">Poets and WaÃ - 2024 - DECT NR+ A new radio standard to benefit professional ...</t>
  </si>
  <si>
    <t xml:space="preserve">Professional Audio Feasibility</t>
  </si>
  <si>
    <t xml:space="preserve">Poets et al.</t>
  </si>
  <si>
    <t xml:space="preserve">Poets et al. - 2025 - Professional Networked Audio over DECT NR+ Feasibility ...</t>
  </si>
  <si>
    <t xml:space="preserve">Professional Audio Prototype</t>
  </si>
  <si>
    <t xml:space="preserve">Raftopoulou et al.</t>
  </si>
  <si>
    <t xml:space="preserve">Raftopoulou et al. - 2025 - Deployment and Performance Evaluation of 5G Priva...</t>
  </si>
  <si>
    <t xml:space="preserve">Rauwolf et al.</t>
  </si>
  <si>
    <t xml:space="preserve">Rauwolf et al. - 2026 - Topology-Aware Deep Reinforcement Learning for Multi-...</t>
  </si>
  <si>
    <t xml:space="preserve">AI-Based Routing</t>
  </si>
  <si>
    <t xml:space="preserve">Saikko et al.</t>
  </si>
  <si>
    <t xml:space="preserve">Saikko et al. - 2024 - Positioning in DECT-2020 NR with Proactive Measurement...</t>
  </si>
  <si>
    <t xml:space="preserve">Positioning and Measurement Selection</t>
  </si>
  <si>
    <t xml:space="preserve">Analytical/Modeling + Numerical Simulation</t>
  </si>
  <si>
    <t xml:space="preserve">Saikko et al. - 2025 - Positioning and Tracking in DECT-2020 NR With Proactiv...</t>
  </si>
  <si>
    <t xml:space="preserve">Positioning and Tracking</t>
  </si>
  <si>
    <t xml:space="preserve">Samuylov et al.</t>
  </si>
  <si>
    <t xml:space="preserve">Samuylov et al. - 2023 - Performance Assessment of DECT-2020 NR and Classic D...</t>
  </si>
  <si>
    <t xml:space="preserve">Coexistence Mechanisms</t>
  </si>
  <si>
    <t xml:space="preserve">Samuylov et al. - 2024 - Performance of MAC Layer Mechanisms in DECT-2020 NR ...</t>
  </si>
  <si>
    <t xml:space="preserve">MAC Mechanism Evaluation</t>
  </si>
  <si>
    <t xml:space="preserve">Samuylov et al. - 2025 - Empowering Near-URLLC IoT with 5G DECT-2020 NR Curre...</t>
  </si>
  <si>
    <t xml:space="preserve">Near-URLLC Roadmap and Evaluation</t>
  </si>
  <si>
    <t xml:space="preserve">System-Level Simulation + Roadmap/Review</t>
  </si>
  <si>
    <t xml:space="preserve">Samuylov et al. - 2025 - Performance of DECT-2020 NR and FCC-Based Mesh IoT S...</t>
  </si>
  <si>
    <t xml:space="preserve">Spectrum Access and Regulation</t>
  </si>
  <si>
    <t xml:space="preserve">System-Level Simulation</t>
  </si>
  <si>
    <t xml:space="preserve">Singhwi et al.</t>
  </si>
  <si>
    <t xml:space="preserve">Singhwi et al. - 2021 - DECT-2020 New Radio System Level Assessment for Multi...</t>
  </si>
  <si>
    <t xml:space="preserve">mMTC System-Level Evaluation</t>
  </si>
  <si>
    <t xml:space="preserve">Smida et al.</t>
  </si>
  <si>
    <t xml:space="preserve">Smida et al. - 2023 - ETSIDECT-2020 Component RIT Technology Implementation a...</t>
  </si>
  <si>
    <t xml:space="preserve">IMT-2020 Implementation/Evaluation</t>
  </si>
  <si>
    <t xml:space="preserve">Soni et al.</t>
  </si>
  <si>
    <t xml:space="preserve">Soni et al. - 2021 - On Performance of multi-hop assisted mMTC for DECT-2020 ...</t>
  </si>
  <si>
    <t xml:space="preserve">Multi-Hop mMTC Evaluation</t>
  </si>
  <si>
    <t xml:space="preserve">NOMA-Assisted PHY Evaluation</t>
  </si>
  <si>
    <t xml:space="preserve">Soni et al. - 2023 - Link-Level Assessment of NOMA Aided Multi-hop DECT-2020 New Radio for mMTC Applications.summary.txt</t>
  </si>
  <si>
    <t xml:space="preserve">Stiller et al.</t>
  </si>
  <si>
    <t xml:space="preserve">Stiller et al. - 2024 - Wireless Communication (Short Range and Long Range incl. LPWAN).summary.txt</t>
  </si>
  <si>
    <t xml:space="preserve">Waßmann et al.</t>
  </si>
  <si>
    <t xml:space="preserve">Industrial PHY Measurement</t>
  </si>
  <si>
    <t xml:space="preserve">Link-Level Simulation + SDR/Industrial Measurements</t>
  </si>
  <si>
    <t xml:space="preserve">Waßmann et al. - 2024 - Performance of DECT-2020 NR in an industrial environment for varying RF bands.summary.txt</t>
  </si>
  <si>
    <t xml:space="preserve">Ashuqullah Alizai; Mohammad Reza Mousavi; Stephan Ludwig</t>
  </si>
  <si>
    <t xml:space="preserve">Experimental Scheduling and Latency Evaluation</t>
  </si>
  <si>
    <t xml:space="preserve">PHY; MAC; Scheduling/Resource Allocation; Industrial/Testbed/Application; URLLC</t>
  </si>
  <si>
    <t xml:space="preserve">INSECT 2026 (presented; proceedings pending)</t>
  </si>
  <si>
    <t xml:space="preserve">Germany</t>
  </si>
  <si>
    <t xml:space="preserve">Aalen University of Applied Sciences</t>
  </si>
  <si>
    <t xml:space="preserve">Title</t>
  </si>
  <si>
    <t xml:space="preserve">Routing</t>
  </si>
  <si>
    <t xml:space="preserve">Mesh</t>
  </si>
  <si>
    <t xml:space="preserve">Scheduling</t>
  </si>
  <si>
    <t xml:space="preserve">Resource Allocation</t>
  </si>
  <si>
    <t xml:space="preserve">Positioning</t>
  </si>
  <si>
    <t xml:space="preserve">Security</t>
  </si>
  <si>
    <t xml:space="preserve">QoS</t>
  </si>
  <si>
    <t xml:space="preserve">URLLC</t>
  </si>
  <si>
    <t xml:space="preserve">mMTC</t>
  </si>
  <si>
    <t xml:space="preserve">Industrial IoT</t>
  </si>
  <si>
    <t xml:space="preserve">Energy</t>
  </si>
  <si>
    <t xml:space="preserve">Coexistence</t>
  </si>
  <si>
    <t xml:space="preserve">AI/ML</t>
  </si>
  <si>
    <t xml:space="preserve">Standardization</t>
  </si>
  <si>
    <t xml:space="preserve">Implementation</t>
  </si>
  <si>
    <t xml:space="preserve">Testbed</t>
  </si>
  <si>
    <t xml:space="preserve">Emulation</t>
  </si>
  <si>
    <t xml:space="preserve">SDR</t>
  </si>
  <si>
    <t xml:space="preserve">Hardware Prototype</t>
  </si>
  <si>
    <t xml:space="preserve">Commercial Device</t>
  </si>
  <si>
    <t xml:space="preserve">Field Trial</t>
  </si>
  <si>
    <t xml:space="preserve">Real Industrial Deployment</t>
  </si>
  <si>
    <t xml:space="preserve">Hardware Platforms</t>
  </si>
  <si>
    <t xml:space="preserve">Software Tools</t>
  </si>
  <si>
    <t xml:space="preserve">Validation Scale</t>
  </si>
  <si>
    <t xml:space="preserve">Evidence Confidence</t>
  </si>
  <si>
    <t xml:space="preserve">Experimental/Testbed Overall</t>
  </si>
  <si>
    <t xml:space="preserve">Custom Simulator</t>
  </si>
  <si>
    <t xml:space="preserve">Simulation/numerical validation</t>
  </si>
  <si>
    <t xml:space="preserve">Custom simulator</t>
  </si>
  <si>
    <t xml:space="preserve">Event-based simulator</t>
  </si>
  <si>
    <t xml:space="preserve">Analytical/review only</t>
  </si>
  <si>
    <t xml:space="preserve">Nordic nRF91 Series; Commercial/Pre-commercial Device</t>
  </si>
  <si>
    <t xml:space="preserve">Hardware/SDR/measurement validation</t>
  </si>
  <si>
    <t xml:space="preserve">Nordic nRF91 Series</t>
  </si>
  <si>
    <t xml:space="preserve">FPGA/Zynq</t>
  </si>
  <si>
    <t xml:space="preserve">MATLAB</t>
  </si>
  <si>
    <t xml:space="preserve">Commercial/Pre-commercial Device; Custom Simulator</t>
  </si>
  <si>
    <t xml:space="preserve">USRP; Commercial/Pre-commercial Device; MATLAB; GNU Radio</t>
  </si>
  <si>
    <t xml:space="preserve">MATLAB; GNU Radio</t>
  </si>
  <si>
    <t xml:space="preserve">Nordic nRF9151; Digital Storage Oscilloscope; GPIO timing markers</t>
  </si>
  <si>
    <t xml:space="preserve">dect_shell; internal modem timers; Zephyr/nRF Connect SDK</t>
  </si>
  <si>
    <t xml:space="preserve">Hardware/DSO laboratory validation</t>
  </si>
  <si>
    <t xml:space="preserve">Point-to-Point</t>
  </si>
  <si>
    <t xml:space="preserve">Star/Cluster</t>
  </si>
  <si>
    <t xml:space="preserve">Multi-hop</t>
  </si>
  <si>
    <t xml:space="preserve">Infrastructure/Core</t>
  </si>
  <si>
    <t xml:space="preserve">Indoor</t>
  </si>
  <si>
    <t xml:space="preserve">Outdoor</t>
  </si>
  <si>
    <t xml:space="preserve">Industrial/Factory</t>
  </si>
  <si>
    <t xml:space="preserve">Number of Nodes</t>
  </si>
  <si>
    <t xml:space="preserve">Hop Count</t>
  </si>
  <si>
    <t xml:space="preserve">Carrier Frequency/Band</t>
  </si>
  <si>
    <t xml:space="preserve">Bandwidth</t>
  </si>
  <si>
    <t xml:space="preserve">Topology Notes</t>
  </si>
  <si>
    <t xml:space="preserve">1.728 mhz</t>
  </si>
  <si>
    <t xml:space="preserve">100</t>
  </si>
  <si>
    <t xml:space="preserve">915 mhz</t>
  </si>
  <si>
    <t xml:space="preserve">1880 ; 1900 mhz</t>
  </si>
  <si>
    <t xml:space="preserve">13.824 mhz</t>
  </si>
  <si>
    <t xml:space="preserve">Two-node FT/PT star topology; industrial sensor–actuator scenario</t>
  </si>
  <si>
    <t xml:space="preserve">Latency</t>
  </si>
  <si>
    <t xml:space="preserve">Jitter</t>
  </si>
  <si>
    <t xml:space="preserve">Throughput</t>
  </si>
  <si>
    <t xml:space="preserve">PDR/Success Rate</t>
  </si>
  <si>
    <t xml:space="preserve">BER</t>
  </si>
  <si>
    <t xml:space="preserve">PER/Packet Loss</t>
  </si>
  <si>
    <t xml:space="preserve">RSSI</t>
  </si>
  <si>
    <t xml:space="preserve">SNR/SINR</t>
  </si>
  <si>
    <t xml:space="preserve">Coverage/Range</t>
  </si>
  <si>
    <t xml:space="preserve">Reliability</t>
  </si>
  <si>
    <t xml:space="preserve">Availability</t>
  </si>
  <si>
    <t xml:space="preserve">Battery Lifetime</t>
  </si>
  <si>
    <t xml:space="preserve">Fairness</t>
  </si>
  <si>
    <t xml:space="preserve">AoI</t>
  </si>
  <si>
    <t xml:space="preserve">Localization Error</t>
  </si>
  <si>
    <t xml:space="preserve">Connection Density</t>
  </si>
  <si>
    <t xml:space="preserve">Spectral Efficiency</t>
  </si>
  <si>
    <t xml:space="preserve">MSE</t>
  </si>
  <si>
    <t xml:space="preserve">Research Objective / Motivation</t>
  </si>
  <si>
    <t xml:space="preserve">Approach / Methodology</t>
  </si>
  <si>
    <t xml:space="preserve">Scientific Contribution</t>
  </si>
  <si>
    <t xml:space="preserve">Contribution Type</t>
  </si>
  <si>
    <t xml:space="preserve">Application Domain</t>
  </si>
  <si>
    <t xml:space="preserve">Novelty Score (1-5)</t>
  </si>
  <si>
    <t xml:space="preserve">TRL (1-9)</t>
  </si>
  <si>
    <t xml:space="preserve">Open Code</t>
  </si>
  <si>
    <t xml:space="preserve">Open Dataset</t>
  </si>
  <si>
    <t xml:space="preserve">Open Hardware</t>
  </si>
  <si>
    <t xml:space="preserve">Reproducibility Notes</t>
  </si>
  <si>
    <t xml:space="preserve">—DECT-2020 New Radio (NR) is a Radio Interface Technology (RIT) recognized fo...</t>
  </si>
  <si>
    <t xml:space="preserve">by exploiting the FT/PT mode functionality of an RD. We utilize the Cluster a...</t>
  </si>
  <si>
    <t xml:space="preserve">The proposed FT/PT-assisted relaying mechanism can reduce the simulated outag...</t>
  </si>
  <si>
    <t xml:space="preserve">Proposes a DECT-2020 NR MAC relaying procedure that switches selected radio d...</t>
  </si>
  <si>
    <t xml:space="preserve">Validated only through event-based simulation; assumptions on topology, mobil...</t>
  </si>
  <si>
    <t xml:space="preserve">Prior DECT-2020 NR procedures did not provide a targeted mechanism for restor...</t>
  </si>
  <si>
    <t xml:space="preserve">No/Not stated</t>
  </si>
  <si>
    <t xml:space="preserve">Provisional novelty/TRL; verify during full-text coding.</t>
  </si>
  <si>
    <t xml:space="preserve">—DECT-2020 New Radio (NR) is a Radio Interface Technology (RIT) that meets th...</t>
  </si>
  <si>
    <t xml:space="preserve">5G private networks, positioning DECT-2020 NR as a promising candidate for ev...</t>
  </si>
  <si>
    <t xml:space="preserve">Event-based simulations indicate that dynamic relay assignment expands covera...</t>
  </si>
  <si>
    <t xml:space="preserve">Extends DECT-2020 NR MAC signaling with dynamic intermediate-node assignment ...</t>
  </si>
  <si>
    <t xml:space="preserve">Simulation-only evaluation; no hardware timing, signaling overhead, energy co...</t>
  </si>
  <si>
    <t xml:space="preserve">The standardized mesh procedures lack an adaptive relay-assignment mechanism ...</t>
  </si>
  <si>
    <t xml:space="preserve">Localization/Tracking</t>
  </si>
  <si>
    <t xml:space="preserve">—DECT-2020 NR, a global radio communication standard developed by ETSI, is de...</t>
  </si>
  <si>
    <t xml:space="preserve">close to 145 packets per second when the system uses only a single 1.728 MHz ...</t>
  </si>
  <si>
    <t xml:space="preserve">Selective flooding supports about 6 packets/s, whereas selective source routi...</t>
  </si>
  <si>
    <t xml:space="preserve">Provides a large-scale downlink routing assessment of selective flooding and ...</t>
  </si>
  <si>
    <t xml:space="preserve">Results are simulation-based and depend on a single-channel, idealized topolo...</t>
  </si>
  <si>
    <t xml:space="preserve">Earlier work concentrated mainly on uplink behavior, leaving downlink capacit...</t>
  </si>
  <si>
    <t xml:space="preserve">—DECT-2020 New Radio (NR) is a Radio Interface Technology (RIT) introduced by...</t>
  </si>
  <si>
    <t xml:space="preserve">to DECT-2020 NR and its applications in a 5G mMTC use case. The author presen...</t>
  </si>
  <si>
    <t xml:space="preserve">The proposed optimized routing procedure reports up to 15% higher throughput ...</t>
  </si>
  <si>
    <t xml:space="preserve">Formulates latency-aware path selection for DECT-2020 NR multi-hop URLLC usin...</t>
  </si>
  <si>
    <t xml:space="preserve">The study is primarily analytical/numerical and does not demonstrate protocol...</t>
  </si>
  <si>
    <t xml:space="preserve">Standard flooding consumes excessive resources and increases latency, while o...</t>
  </si>
  <si>
    <t xml:space="preserve">General IoT/mMTC</t>
  </si>
  <si>
    <t xml:space="preserve">Many emerging applications require a higher level of flexibility, modularity,...</t>
  </si>
  <si>
    <t xml:space="preserve">The development of future information technology (IT) and operational technol...</t>
  </si>
  <si>
    <t xml:space="preserve">The review identifies progress toward wireless TSN but concludes that determi...</t>
  </si>
  <si>
    <t xml:space="preserve">Synthesizes IEEE 802.11 and 5G standardization developments for wireless TSN ...</t>
  </si>
  <si>
    <t xml:space="preserve">The paper is a broad survey rather than a DECT-2020 NR evaluation and provide...</t>
  </si>
  <si>
    <t xml:space="preserve">A consolidated assessment of how wireless standards integrate with wired TSN ...</t>
  </si>
  <si>
    <t xml:space="preserve"> Efficient and fair resource allocation for massive machine-type communicati...</t>
  </si>
  <si>
    <t xml:space="preserve">The advent of 5G New Radio networks has fundamentally transformed wireless co...</t>
  </si>
  <si>
    <t xml:space="preserve">Simulations show near-optimal throughput and utilization together with improv...</t>
  </si>
  <si>
    <t xml:space="preserve">Introduces a priority-aware uplink scheduler that jointly accounts for channe...</t>
  </si>
  <si>
    <t xml:space="preserve">The study concerns 3GPP 5G NR rather than DECT-2020 NR and relies on simulati...</t>
  </si>
  <si>
    <t xml:space="preserve">Existing 5G mMTC schedulers often optimize efficiency or priority separately ...</t>
  </si>
  <si>
    <t xml:space="preserve">Digital Enhanced Cordless Telecommunications New Radio+ (DECT NR+) is a recen...</t>
  </si>
  <si>
    <t xml:space="preserve">................................................................................</t>
  </si>
  <si>
    <t xml:space="preserve">Measured results include 730 m outdoor LoS at 80% PDR, 2.498 Mbit/s peak thro...</t>
  </si>
  <si>
    <t xml:space="preserve">Provides a comprehensive physical-layer testbed characterization of DECT NR+ ...</t>
  </si>
  <si>
    <t xml:space="preserve">Tests use a small point-to-point setup and one vendor implementation; mesh sc...</t>
  </si>
  <si>
    <t xml:space="preserve">Empirical DECT NR+ performance data on commercial/pre-commercial hardware wer...</t>
  </si>
  <si>
    <t xml:space="preserve">—DECT 2020 NR is a Radio Interface Technology (RIT) introduced by ETSI for ma...</t>
  </si>
  <si>
    <t xml:space="preserve">systematically identify shadowed regions within this 3D system model and miti...</t>
  </si>
  <si>
    <t xml:space="preserve">Comparative numerical analysis reports higher received power and throughput a...</t>
  </si>
  <si>
    <t xml:space="preserve">Develops an IRS-assisted DECT-2020 NR framework with 3D shadow-region detecti...</t>
  </si>
  <si>
    <t xml:space="preserve">The evaluation is model-based; no physical IRS-DECT prototype, hardware laten...</t>
  </si>
  <si>
    <t xml:space="preserve">Severe blockage and shadowing in industrial halls are not adequately handled ...</t>
  </si>
  <si>
    <t xml:space="preserve">—The purpose of this paper is to evaluate the applicability of wireless mesh ...</t>
  </si>
  <si>
    <t xml:space="preserve">of a reasonable back-off time leads to an increase in data transmission durat...</t>
  </si>
  <si>
    <t xml:space="preserve">Simulated user-plane latency ranges from 10.55–25.07 ms over five hops and 15...</t>
  </si>
  <si>
    <t xml:space="preserve">Quantifies reliability–latency trade-offs for DECT-2020 NR multi-hop mesh com...</t>
  </si>
  <si>
    <t xml:space="preserve">Simulation-only study with simplified traffic and channel assumptions; no fie...</t>
  </si>
  <si>
    <t xml:space="preserve">The feasibility of independent wireless meshes for smart-grid monitoring had ...</t>
  </si>
  <si>
    <t xml:space="preserve">Duplicate record of the Biswas et al. study that quantifies reliability–laten...</t>
  </si>
  <si>
    <t xml:space="preserve">—The rapid growth of smartphones, laptops, and Internet of Things (IoT) devic...</t>
  </si>
  <si>
    <t xml:space="preserve">setup of high-speed Wi-Fi data transmission links between devices. To validat...</t>
  </si>
  <si>
    <t xml:space="preserve">The Nordic nRF9161-based prototype demonstrates sub-microsecond DECT communic...</t>
  </si>
  <si>
    <t xml:space="preserve">Implements an enhanced wireless direct-connectivity framework in which DECT-2...</t>
  </si>
  <si>
    <t xml:space="preserve">Evaluation uses a small two-device prototype; broader interoperability, energ...</t>
  </si>
  <si>
    <t xml:space="preserve">BLE-based discovery in existing direct-connectivity systems has security weak...</t>
  </si>
  <si>
    <t xml:space="preserve">Localization/Tracking; Direct Connectivity/Multi-RAT; General IoT/mMTC</t>
  </si>
  <si>
    <t xml:space="preserve">—Future 6G networks aim to deliver seamless, secure, and low-latency connecti...</t>
  </si>
  <si>
    <t xml:space="preserve">and costeffective connectivity [5]. The 3rd generation partnership project (3...</t>
  </si>
  <si>
    <t xml:space="preserve">Prototype tests report stable registration below 100 ms for up to 100 devices...</t>
  </si>
  <si>
    <t xml:space="preserve">Implements Uni-RAT, a unified DECT-2020 NR and Wi-Fi architecture using DECT ...</t>
  </si>
  <si>
    <t xml:space="preserve">The work is a non-peer-reviewed preprint and uses a laboratory prototype; wid...</t>
  </si>
  <si>
    <t xml:space="preserve">Existing non-3GPP interworking treats each RAT independently, adds IPsec over...</t>
  </si>
  <si>
    <t xml:space="preserve">Localization/Tracking; Direct Connectivity/Multi-RAT</t>
  </si>
  <si>
    <t xml:space="preserve">—A number of IMT-2020 candidate technologies including the 3GPP have been sub...</t>
  </si>
  <si>
    <t xml:space="preserve">direction, we could not conclude whether the DECT-2020 NR can meet the minimu...</t>
  </si>
  <si>
    <t xml:space="preserve">The authors conclude that latency requires half-slot or HARQ-less full-slot t...</t>
  </si>
  <si>
    <t xml:space="preserve">Independently assesses DECT-2020 NR against IMT-2020 latency, reliability, an...</t>
  </si>
  <si>
    <t xml:space="preserve">Connection density could not be conclusively evaluated because channel, inter...</t>
  </si>
  <si>
    <t xml:space="preserve">Independent verification of the candidate technology submission was needed be...</t>
  </si>
  <si>
    <t xml:space="preserve">—This paper presents an in-depth evaluation of the DECT-2020 New Radio (NR) s...</t>
  </si>
  <si>
    <t xml:space="preserve">Local wireless transmission (TX) of audio plays an important role in many pro...</t>
  </si>
  <si>
    <t xml:space="preserve">The minimum measured modem latency is 2.312 ms, but it consumes roughly one-t...</t>
  </si>
  <si>
    <t xml:space="preserve">Performs practical latency measurements and design-space analysis of DECT-202...</t>
  </si>
  <si>
    <t xml:space="preserve">Only the available PHY implementation is measured; reliability, complete prot...</t>
  </si>
  <si>
    <t xml:space="preserve">The feasibility of commercial DECT-2020 NR implementations for sub-4 ms profe...</t>
  </si>
  <si>
    <t xml:space="preserve">Professional Audio; Direct Connectivity/Multi-RAT</t>
  </si>
  <si>
    <t xml:space="preserve">A rapid increase in number and diverse applications of connected devices has ...</t>
  </si>
  <si>
    <t xml:space="preserve">1.1 Thesis objectives . . . . . . . . . . . . . . . . . . . . . . . . . . . 1...</t>
  </si>
  <si>
    <t xml:space="preserve">The detector uses only two complex multiplications but requires at least abou...</t>
  </si>
  <si>
    <t xml:space="preserve">Implements a hardware-efficient FPGA packet detector and timing-synchronizati...</t>
  </si>
  <si>
    <t xml:space="preserve">The FPGA design is evaluated in simulation rather than deployed end-to-end on...</t>
  </si>
  <si>
    <t xml:space="preserve">An open, hardware-based SDR platform comparable to openwifi was unavailable f...</t>
  </si>
  <si>
    <t xml:space="preserve">Direct Connectivity/Multi-RAT</t>
  </si>
  <si>
    <t xml:space="preserve">Connecting large swarms of low-power micro-robots remains an open challenge: ...</t>
  </si>
  <si>
    <t xml:space="preserve">er r Large-scale robotic swarms are the next frontier in distributed autonomo...</t>
  </si>
  <si>
    <t xml:space="preserve">Hardware tests connect 100 nodes with above 97% PDR and 269 ms RTT, and demon...</t>
  </si>
  <si>
    <t xml:space="preserve">Introduces the open-source Mari TSCH-based communication platform for large l...</t>
  </si>
  <si>
    <t xml:space="preserve">The system is based on BLE/TSCH rather than DECT-2020 NR and is currently a n...</t>
  </si>
  <si>
    <t xml:space="preserve">Existing swarm communication solutions struggle to combine hundreds of device...</t>
  </si>
  <si>
    <t xml:space="preserve">Robotics/Swarm; Direct Connectivity/Multi-RAT</t>
  </si>
  <si>
    <t xml:space="preserve">—We consider a novel routing protocol suitable for ad-hoc networks with dynam...</t>
  </si>
  <si>
    <t xml:space="preserve">to the SotA routing approach for partially connected networks is given, the p...</t>
  </si>
  <si>
    <t xml:space="preserve">Simulations show favorable average route length across varying node densities...</t>
  </si>
  <si>
    <t xml:space="preserve">Proposes a decentralized routing protocol that combines network discovery, ma...</t>
  </si>
  <si>
    <t xml:space="preserve">Evaluation is simulation-based; computation, signaling, localization error, m...</t>
  </si>
  <si>
    <t xml:space="preserve">Dynamic DECT NR+ mesh topologies can contain unknown links, and flooding-base...</t>
  </si>
  <si>
    <t xml:space="preserve">—Massive Machine-Type Communication (mMTC) enables the seamless connectivity ...</t>
  </si>
  <si>
    <t xml:space="preserve">research introduces and evaluates a delay reduction strategy wherein the RA p...</t>
  </si>
  <si>
    <t xml:space="preserve">Numerical results show that state-aware adaptation can reduce random-access d...</t>
  </si>
  <si>
    <t xml:space="preserve">Develops a mathematical random-access model and an HMM-based estimator that a...</t>
  </si>
  <si>
    <t xml:space="preserve">Validation is numerical; estimation errors, implementation complexity, non-st...</t>
  </si>
  <si>
    <t xml:space="preserve">Fixed random-access duration cannot efficiently balance access delay and data...</t>
  </si>
  <si>
    <t xml:space="preserve">Localization/Tracking; General IoT/mMTC</t>
  </si>
  <si>
    <t xml:space="preserve">—DECT-2020 NR is a radio access technology designed for 5G Internet of Things...</t>
  </si>
  <si>
    <t xml:space="preserve">of scheduled transmissions over multi-hop topologies requires significant sig...</t>
  </si>
  <si>
    <t xml:space="preserve">Recommended settings improve simulated latency by 30–80% and loss performance...</t>
  </si>
  <si>
    <t xml:space="preserve">Identifies standard PHY/MAC parameter settings that improve near-URLLC perfor...</t>
  </si>
  <si>
    <t xml:space="preserve">The conclusions are based on system-level simulation and do not include imple...</t>
  </si>
  <si>
    <t xml:space="preserve">It was unclear whether existing LBT, power-control, ACK, and priority mechani...</t>
  </si>
  <si>
    <t xml:space="preserve">—DECT NR+ is a novel wireless IoT standard operating in the 1.9 GHz band, a b...</t>
  </si>
  <si>
    <t xml:space="preserve">To model specific relationships, we conduct practical experiments in two real...</t>
  </si>
  <si>
    <t xml:space="preserve">The experiments identify environment-specific Pareto-optimal MCS, power, and ...</t>
  </si>
  <si>
    <t xml:space="preserve">Combines analytical objective functions and two real-world Nordic nRF91 testb...</t>
  </si>
  <si>
    <t xml:space="preserve">Static indoor/outdoor links and a limited vendor parameter set are considered...</t>
  </si>
  <si>
    <t xml:space="preserve">Commercial DECT NR+ devices expose many configurable parameters but lack a sy...</t>
  </si>
  <si>
    <t xml:space="preserve">DECT NR+ is the new kid on the block in wireless technologies: it re-purposes...</t>
  </si>
  <si>
    <t xml:space="preserve">Wireless connectivity is at the heart of Internet of Things (IoT) application...</t>
  </si>
  <si>
    <t xml:space="preserve">Measured range varies from roughly 200 m urban to 6 km favorable LoS, while t...</t>
  </si>
  <si>
    <t xml:space="preserve">Provides a market and PHY overview together with hands-on DECT NR+ range and ...</t>
  </si>
  <si>
    <t xml:space="preserve">Results are tied to an early Nordic implementation and selected environments;...</t>
  </si>
  <si>
    <t xml:space="preserve">Practitioners lacked an independent, measurement-based guide to where current...</t>
  </si>
  <si>
    <t xml:space="preserve">—Digital Enhanced Cordless Telecommunications 2020 New Radio (DECT-2020 NR) h...</t>
  </si>
  <si>
    <t xml:space="preserve">namely physical control channel (PCC) I. I NTRODUCTION and physical data chan...</t>
  </si>
  <si>
    <t xml:space="preserve">Reliable links exceed 60 m indoor NLoS and about 600 m outdoor LoS at low ant...</t>
  </si>
  <si>
    <t xml:space="preserve">Establishes empirical DECT-2020 NR path-loss, RSSI, SNR, success-rate, and di...</t>
  </si>
  <si>
    <t xml:space="preserve">Measurements use stationary point-to-point links, one hardware family, limite...</t>
  </si>
  <si>
    <t xml:space="preserve">Practical propagation and maximum one-hop distance data for DECT-2020 NR acro...</t>
  </si>
  <si>
    <t xml:space="preserve">Unmanned Aerial Vehicle (UAV) technology is rapidly growing in many fields, s...</t>
  </si>
  <si>
    <t xml:space="preserve">The analysis finds lower frequencies such as 915 MHz more suitable for long r...</t>
  </si>
  <si>
    <t xml:space="preserve">Analyzes DECT NR+ UAV connectivity through link-budget modeling across freque...</t>
  </si>
  <si>
    <t xml:space="preserve">The thesis relies on simulation/link-budget calculations without flight tests...</t>
  </si>
  <si>
    <t xml:space="preserve">The suitability and parameter choices of DECT NR+ for UAV communication had n...</t>
  </si>
  <si>
    <t xml:space="preserve">UAV; Localization/Tracking; Direct Connectivity/Multi-RAT</t>
  </si>
  <si>
    <t xml:space="preserve">The massive scale and dense deployments of future Internet of Things (IoT), p...</t>
  </si>
  <si>
    <t xml:space="preserve">While these hybrid RF/OWC APs oﬀer signiﬁcant advantages in cost, eﬃciency, a...</t>
  </si>
  <si>
    <t xml:space="preserve">The coverage-equivalence analysis quantifies the optical-transmitter density ...</t>
  </si>
  <si>
    <t xml:space="preserve">Proposes a hybrid RF/optical IoT architecture and derives coverage-equivalenc...</t>
  </si>
  <si>
    <t xml:space="preserve">This is a conceptual/analytical preprint, not a DECT-specific implementation,...</t>
  </si>
  <si>
    <t xml:space="preserve">RF-only systems face congestion and security concerns, while optical links su...</t>
  </si>
  <si>
    <t xml:space="preserve">—This paper provides a comparative analysis of the physical layer (PHY) chara...</t>
  </si>
  <si>
    <t xml:space="preserve">of the ETSI-DECT 2020 standard [9]. DECT-2020 New Radio (NR) extends the capa...</t>
  </si>
  <si>
    <t xml:space="preserve">The comparison positions DECT-2020 NR for dense, low-latency local IoT and LT...</t>
  </si>
  <si>
    <t xml:space="preserve">Compares DECT-2020 NR and LTE-M PHY characteristics, including modulation, da...</t>
  </si>
  <si>
    <t xml:space="preserve">The work is primarily comparative/analytical and provides limited original ex...</t>
  </si>
  <si>
    <t xml:space="preserve">A concise PHY-level comparison clarifying the complementary strengths of DECT...</t>
  </si>
  <si>
    <t xml:space="preserve">Massive machine type communications (mMTC) is one of the cornerstone services...</t>
  </si>
  <si>
    <t xml:space="preserve">This work was supported by the Business Finland 5G-FORCE project. Digital Obj...</t>
  </si>
  <si>
    <t xml:space="preserve">The study reports that DECT-2020 NR supports higher node densities than compa...</t>
  </si>
  <si>
    <t xml:space="preserve">Introduces DECT-2020 NR architecture and evaluates its mMTC capacity against ...</t>
  </si>
  <si>
    <t xml:space="preserve">Results are mainly simulation-based and depend on assumed traffic and propaga...</t>
  </si>
  <si>
    <t xml:space="preserve">The benefits of DECT-2020 NR relative to established LPWAN systems for very d...</t>
  </si>
  <si>
    <t xml:space="preserve">—Low Power Wide Area Networks (LPWAN) enable energy-efﬁcient communication ov...</t>
  </si>
  <si>
    <t xml:space="preserve">kilometer in non-line-of-sight conditions. However, DECT NR+ offers higher da...</t>
  </si>
  <si>
    <t xml:space="preserve">LoRa provides substantially longer range, whereas DECT NR+ reaches much highe...</t>
  </si>
  <si>
    <t xml:space="preserve">Compares DECT NR+ and 2.4 GHz LoRa using path-loss modeling and measurements ...</t>
  </si>
  <si>
    <t xml:space="preserve">The evaluation covers selected hardware, environments, and configurations; en...</t>
  </si>
  <si>
    <t xml:space="preserve">Applications needing higher throughput than conventional LPWAN lacked measure...</t>
  </si>
  <si>
    <t xml:space="preserve">—The Digital Enhanced Cordless Telecommunications (DECT-2020) New Radio (NR+)...</t>
  </si>
  <si>
    <t xml:space="preserve">data traffic. We open-sourced the Matlab code for the DECT receiver in a Soft...</t>
  </si>
  <si>
    <t xml:space="preserve">Over-the-air SDR experiments achieve BER as low as 0.02 under the best tested...</t>
  </si>
  <si>
    <t xml:space="preserve">Embeds an ambient-backscatter receiver in a DECT NR+ SDR chain and releases M...</t>
  </si>
  <si>
    <t xml:space="preserve">The experiment is an early proof of concept under favorable conditions; range...</t>
  </si>
  <si>
    <t xml:space="preserve">DECT NR+ does not inherently support batteryless devices, and its use as an a...</t>
  </si>
  <si>
    <t xml:space="preserve">—Oil and gas extraction and processing environments impose stringent requirem...</t>
  </si>
  <si>
    <t xml:space="preserve">(Beijing Petroleum Machinery Co.,Ltd.) China National Petroleum Corporation B...</t>
  </si>
  <si>
    <t xml:space="preserve">Simulation and lab results show consistent MSE improvement over pilot-only LS...</t>
  </si>
  <si>
    <t xml:space="preserve">Adapts data-aided least-squares channel estimation to DECT NR+ industrial lin...</t>
  </si>
  <si>
    <t xml:space="preserve">The laboratory backscatter-like setup does not reproduce a full oilfield depl...</t>
  </si>
  <si>
    <t xml:space="preserve">Pilot-only channel estimation can be inaccurate in low-SNR, multipath-rich oi...</t>
  </si>
  <si>
    <t xml:space="preserve">Localization/Tracking; Oil and Gas</t>
  </si>
  <si>
    <t xml:space="preserve">—Derived from the work at IMT-2020, the standard DECT2020-NR provides non- ce...</t>
  </si>
  <si>
    <t xml:space="preserve">of Internet technologies into industry. Thus, the performance of radio commun...</t>
  </si>
  <si>
    <t xml:space="preserve">The simulations confirm that PHY performance alone is insufficient and that M...</t>
  </si>
  <si>
    <t xml:space="preserve">Evaluates DECT-2020 NR PHY performance under simulated industrial propagation...</t>
  </si>
  <si>
    <t xml:space="preserve">Work-in-progress based on simulation; no hardware validation, complete MAC be...</t>
  </si>
  <si>
    <t xml:space="preserve">PHY reliability behavior in representative factory channels had not been suff...</t>
  </si>
  <si>
    <t xml:space="preserve">—This paper provides an overview of DECT-2020 NR technology evaluation conduc...</t>
  </si>
  <si>
    <t xml:space="preserve">to the RIT is presented in Section II. In Section III, the ITU requirements a...</t>
  </si>
  <si>
    <t xml:space="preserve">The evaluation concludes that DECT-2020 NR fulfills the assessed IMT-2020 req...</t>
  </si>
  <si>
    <t xml:space="preserve">Documents the independent WWRF IMT-2020 evaluation of DECT-2020 NR, including...</t>
  </si>
  <si>
    <t xml:space="preserve">The assessment is tied to candidate-technology assumptions and in-house simul...</t>
  </si>
  <si>
    <t xml:space="preserve">ITU evaluation procedures were designed for cellular topology and required ad...</t>
  </si>
  <si>
    <t xml:space="preserve">Energy efficiency and spectrum efficiency have been identified by “IMT for 20...</t>
  </si>
  <si>
    <t xml:space="preserve">IMT-2020 [1] establishes the vision for mobile telecommunications for 2020 an...</t>
  </si>
  <si>
    <t xml:space="preserve">The analysis shows that reduced paging monitoring enables low-energy operatio...</t>
  </si>
  <si>
    <t xml:space="preserve">Explains DECT evolution toward ultra-low-energy and high-data-rate operation ...</t>
  </si>
  <si>
    <t xml:space="preserve">The study is primarily conceptual/analytical and does not provide a complete ...</t>
  </si>
  <si>
    <t xml:space="preserve">Legacy DECT was unsuitable for low-energy IoT and high-rate multimedia, motiv...</t>
  </si>
  <si>
    <t xml:space="preserve">. DECT-2020 NR is a wireless communication standard designed for large-scale ...</t>
  </si>
  <si>
    <t xml:space="preserve">The rapid development of ﬁfth-generation (5G) networks creates new opportunit...</t>
  </si>
  <si>
    <t xml:space="preserve">The authors recommend the late-arrival model as an upper-bound representation...</t>
  </si>
  <si>
    <t xml:space="preserve">Develops and compares early-arrival and late-arrival discrete-time queueing m...</t>
  </si>
  <si>
    <t xml:space="preserve">The model abstracts wireless errors, routing, scheduling, and variable channe...</t>
  </si>
  <si>
    <t xml:space="preserve">The effect of non-ordinary batch-arrival discipline on delay and information ...</t>
  </si>
  <si>
    <t xml:space="preserve">—5G communication networks are suitable to realize Tactile Internet with Huma...</t>
  </si>
  <si>
    <t xml:space="preserve">to some of the main features of the standard. TABLE I DECT-2020 NR+ M ODULATI...</t>
  </si>
  <si>
    <t xml:space="preserve">The prototype demonstrates the practical feasibility of using DECT NR+ as a l...</t>
  </si>
  <si>
    <t xml:space="preserve">Builds and evaluates a low-cost DECT NR+ tactile-internet prototype for human...</t>
  </si>
  <si>
    <t xml:space="preserve">The prototype covers a limited scenario and scale; rigorous URLLC reliability...</t>
  </si>
  <si>
    <t xml:space="preserve">Affordable non-cellular platforms for experimentally studying human-in-the-lo...</t>
  </si>
  <si>
    <t xml:space="preserve">The rapid expansion of the Internet of Things and Industrial IoT has accelera...</t>
  </si>
  <si>
    <t xml:space="preserve">The prototype provides implementation evidence for authenticating IoT devices...</t>
  </si>
  <si>
    <t xml:space="preserve">Implements and evaluates an authentication approach for non-public IoT networ...</t>
  </si>
  <si>
    <t xml:space="preserve">As a master's thesis, evaluation is limited in scale and scenario coverage; f...</t>
  </si>
  <si>
    <t xml:space="preserve">Non-cellular DECT-2020 NR devices need practical authentication and integrati...</t>
  </si>
  <si>
    <t xml:space="preserve">Direct Connectivity/Multi-RAT; General IoT/mMTC</t>
  </si>
  <si>
    <t xml:space="preserve">—ETSI DECT-2020 New Radio (NR) is a new flexible radio interface targeted to ...</t>
  </si>
  <si>
    <t xml:space="preserve">The DECT-2020 NR standard was released by the European Telecommunications Sta...</t>
  </si>
  <si>
    <t xml:space="preserve">Results show that routing responsibility and network configuration strongly i...</t>
  </si>
  <si>
    <t xml:space="preserve">Quantifies energy consumption in DECT-2020 NR mesh networks and identifies th...</t>
  </si>
  <si>
    <t xml:space="preserve">Simulation assumptions may not reflect current modem firmware and hardware po...</t>
  </si>
  <si>
    <t xml:space="preserve">System-level energy cost of decentralized DECT-2020 NR mesh participation had...</t>
  </si>
  <si>
    <t xml:space="preserve">The simulated protocol improves energy balance by rotating relay responsibili...</t>
  </si>
  <si>
    <t xml:space="preserve">Proposes a router-rotation protocol that distributes forwarding responsibilit...</t>
  </si>
  <si>
    <t xml:space="preserve">Simulation-only evaluation with simplified battery and traffic models; signal...</t>
  </si>
  <si>
    <t xml:space="preserve">Static router selection can drain relay nodes faster and shorten the operatio...</t>
  </si>
  <si>
    <t xml:space="preserve">Academic Editors: Leonid Piterbarg and Steve Drekic Received: 2 November 2025...</t>
  </si>
  <si>
    <t xml:space="preserve">The Internet of Things (IoT) is one of the most significant areas of technolo...</t>
  </si>
  <si>
    <t xml:space="preserve">The derived model links tandem-queue parameters to peak age of information an...</t>
  </si>
  <si>
    <t xml:space="preserve">Models DECT-2020 NR as a tandem queueing system and derives analytical peak-A...</t>
  </si>
  <si>
    <t xml:space="preserve">The abstract model omits many PHY/MAC effects and has not been calibrated wit...</t>
  </si>
  <si>
    <t xml:space="preserve">End-to-end information freshness through sequential DECT-2020 NR service stag...</t>
  </si>
  <si>
    <t xml:space="preserve">arXiv:2104.08549v1 [cs.NI] 17 Apr 2021 “This work has been submitted to the I...</t>
  </si>
  <si>
    <t xml:space="preserve">both URLLC and mMTC use cases. The results presented in this work are benefic...</t>
  </si>
  <si>
    <t xml:space="preserve">Simulation results characterize the operating regions in which the DECT-2020 ...</t>
  </si>
  <si>
    <t xml:space="preserve">Performs link-level simulation of the DECT-2020 NR IMT-2020 candidate, evalua...</t>
  </si>
  <si>
    <t xml:space="preserve">Link-level simulation does not capture complete MAC, network loading, hardwar...</t>
  </si>
  <si>
    <t xml:space="preserve">Independent link-level evidence was needed to verify candidate-technology per...</t>
  </si>
  <si>
    <t xml:space="preserve">URLLC Performance Evaluation of IMT-2020 Candidate Technology: DECT-2020 New ...</t>
  </si>
  <si>
    <t xml:space="preserve">the ITU-R for evaluation. We then use these link-level results to perform sys...</t>
  </si>
  <si>
    <t xml:space="preserve">The evaluated configurations achieve sub-millisecond link latency and reliabi...</t>
  </si>
  <si>
    <t xml:space="preserve">Evaluates DECT-2020 NR link latency and reliability for the IMT-2020 URLLC us...</t>
  </si>
  <si>
    <t xml:space="preserve">The analysis is simulation-based and excludes full protocol-stack processing,...</t>
  </si>
  <si>
    <t xml:space="preserve">The ability of DECT-2020 NR to meet strict URLLC latency and reliability targ...</t>
  </si>
  <si>
    <t xml:space="preserve">—DECT-2020 NR is a young radio standard developed by ETSI, which aims to prov...</t>
  </si>
  <si>
    <t xml:space="preserve">of the Digital European Cordless Telecommunications system. [6] ETSI TS 103 6...</t>
  </si>
  <si>
    <t xml:space="preserve">The article summarizes how decentralized deployment, mesh functionality, and ...</t>
  </si>
  <si>
    <t xml:space="preserve">Provides a structured overview of DECT NR+ architecture, PHY/MAC features, me...</t>
  </si>
  <si>
    <t xml:space="preserve">The paper is an overview and does not contribute an independent algorithm or ...</t>
  </si>
  <si>
    <t xml:space="preserve">Vertical industries needed an accessible consolidated explanation of the newl...</t>
  </si>
  <si>
    <t xml:space="preserve">—Modern power grids and industrial systems require scalable and reliable wire...</t>
  </si>
  <si>
    <t xml:space="preserve">of Things (IoT), Proof of Concept (PoC), Mesh Networks I. I NTRODUCTION Digit...</t>
  </si>
  <si>
    <t xml:space="preserve">The testbed demonstrates that DECT-2020 NR can support the evaluated grid-mon...</t>
  </si>
  <si>
    <t xml:space="preserve">Deploys DECT-2020 NR in power-grid/substation monitoring scenarios and evalua...</t>
  </si>
  <si>
    <t xml:space="preserve">The deployment covers selected sites, traffic, and hardware; long-term reliab...</t>
  </si>
  <si>
    <t xml:space="preserve">Evidence of DECT-2020 NR performance for real energy and substation monitorin...</t>
  </si>
  <si>
    <t xml:space="preserve">Smart Grid/Energy; General IoT/mMTC</t>
  </si>
  <si>
    <t xml:space="preserve">sion. Moreover, the system should not compromise on audio quality and offer a...</t>
  </si>
  <si>
    <t xml:space="preserve">to PMSE and its core application of wireless microphone systems. We then prov...</t>
  </si>
  <si>
    <t xml:space="preserve">The analysis identifies low latency and dedicated spectrum as promising featu...</t>
  </si>
  <si>
    <t xml:space="preserve">Analyzes how DECT NR+ features and design trade-offs could benefit profession...</t>
  </si>
  <si>
    <t xml:space="preserve">Primarily a feasibility/overview study with limited original measurement evid...</t>
  </si>
  <si>
    <t xml:space="preserve">The professional-audio community lacked a technology-focused assessment of DE...</t>
  </si>
  <si>
    <t xml:space="preserve">Professional Audio; Localization/Tracking</t>
  </si>
  <si>
    <t xml:space="preserve">—DECT NR+, also known by its official designation DECT-2020 NR, is a new radi...</t>
  </si>
  <si>
    <t xml:space="preserve">to DECT NR+ and its role in wireless professional audio, followed by an overv...</t>
  </si>
  <si>
    <t xml:space="preserve">Experimental results demonstrate that DECT NR+ can transport professional net...</t>
  </si>
  <si>
    <t xml:space="preserve">Implements professional networked audio over DECT NR+ using an open SDR appro...</t>
  </si>
  <si>
    <t xml:space="preserve">Prototype scale and audio scenarios are limited; production reliability, sync...</t>
  </si>
  <si>
    <t xml:space="preserve">End-to-end practical evidence for transporting professional audio over DECT N...</t>
  </si>
  <si>
    <t xml:space="preserve">Rural remote areas have unique challenges for providing reliable and high-spe...</t>
  </si>
  <si>
    <t xml:space="preserve">In recent years, the fifth generation of mobile networks (5G) has seen wide d...</t>
  </si>
  <si>
    <t xml:space="preserve">The field deployment demonstrates practical private-5G support for selected r...</t>
  </si>
  <si>
    <t xml:space="preserve">Deploys and evaluates private 5G infrastructure for rural awareness and publi...</t>
  </si>
  <si>
    <t xml:space="preserve">The work is primarily 5G rather than DECT-2020 NR and the evaluated use cases...</t>
  </si>
  <si>
    <t xml:space="preserve">Rural and remote communities lack evidence on feasible private 5G deployment ...</t>
  </si>
  <si>
    <t xml:space="preserve">—DECT-2020 New Radio (NR) is a radio interface technology (RIT) standardized ...</t>
  </si>
  <si>
    <t xml:space="preserve">the current mesh topology and a per-edge Deep Q-Network (DQN) head selects th...</t>
  </si>
  <si>
    <t xml:space="preserve">Simulation results indicate that topology-aware learning improves multi-hop U...</t>
  </si>
  <si>
    <t xml:space="preserve">Applies topology-aware deep reinforcement learning to multi-hop routing/sched...</t>
  </si>
  <si>
    <t xml:space="preserve">Evaluation is simulation-based; training overhead, generalization, explainabi...</t>
  </si>
  <si>
    <t xml:space="preserve">Conventional routing cannot readily adapt to dynamic topology while jointly m...</t>
  </si>
  <si>
    <t xml:space="preserve">—This paper addresses efficient positioning and user device tracking in Inter...</t>
  </si>
  <si>
    <t xml:space="preserve">smaller number of measurements. Index Terms—positioning, DECT-2020 NR, intern...</t>
  </si>
  <si>
    <t xml:space="preserve">The proposed selection method reduces the required measurement set while main...</t>
  </si>
  <si>
    <t xml:space="preserve">Introduces proactive measurement selection for DECT-2020 NR positioning to re...</t>
  </si>
  <si>
    <t xml:space="preserve">The study relies on simulation/analytical assumptions and does not include a ...</t>
  </si>
  <si>
    <t xml:space="preserve">Collecting all available measurements is costly and inefficient in dense netw...</t>
  </si>
  <si>
    <t xml:space="preserve">—This article addresses efficient positioning and user device tracking in Int...</t>
  </si>
  <si>
    <t xml:space="preserve">CCOMMODATING to growing demand on Internet-ofThings (IoT)-based services, the...</t>
  </si>
  <si>
    <t xml:space="preserve">The study demonstrates that proactive multimodal anchor selection can maintai...</t>
  </si>
  <si>
    <t xml:space="preserve">Extends proactive anchor selection to joint range, angle, and RSS positioning...</t>
  </si>
  <si>
    <t xml:space="preserve">Experimental scale, geometry, and environmental diversity are limited; long-t...</t>
  </si>
  <si>
    <t xml:space="preserve">Robust DECT-2020 NR tracking requires efficient fusion and anchor selection a...</t>
  </si>
  <si>
    <t xml:space="preserve">—The recently standardized ETSI DECT-2020 New Radio (NR) technology promises ...</t>
  </si>
  <si>
    <t xml:space="preserve">operation ensures excellent performance with no more than 2% of packet drops ...</t>
  </si>
  <si>
    <t xml:space="preserve">The modeled coexistence mechanisms allow DECT-2020 NR and classic DECT to sha...</t>
  </si>
  <si>
    <t xml:space="preserve">Evaluates coexistence mechanisms between DECT-2020 NR and classic DECT throug...</t>
  </si>
  <si>
    <t xml:space="preserve">Simulation-based results depend on traffic, channel, and device assumptions a...</t>
  </si>
  <si>
    <t xml:space="preserve">The practical coexistence impact of introducing DECT-2020 NR into bands occup...</t>
  </si>
  <si>
    <t xml:space="preserve">—DECT-2020 is a recently standardized enabling technology for 5G massive mach...</t>
  </si>
  <si>
    <t xml:space="preserve">to non-operational conditions. Without simple analytical models, these parame...</t>
  </si>
  <si>
    <t xml:space="preserve">The study identifies MAC parameter regions and mechanisms that support dense ...</t>
  </si>
  <si>
    <t xml:space="preserve">Analyzes DECT-2020 NR MAC mechanisms for mMTC, quantifying access and deliver...</t>
  </si>
  <si>
    <t xml:space="preserve">The evaluation is analytical/simulation-based and omits current hardware cons...</t>
  </si>
  <si>
    <t xml:space="preserve">The scalability and efficiency of standardized MAC procedures for dense mMTC ...</t>
  </si>
  <si>
    <t xml:space="preserve">DECT-2020 is a standardized multi-hop technology for 5G massive machine-type ...</t>
  </si>
  <si>
    <t xml:space="preserve">The main services specified by ITU-R and 3GPP for 5G systems are enhanced mob...</t>
  </si>
  <si>
    <t xml:space="preserve">The paper concludes that current mechanisms can approach URLLC requirements b...</t>
  </si>
  <si>
    <t xml:space="preserve">Reviews the current DECT-2020 NR capability for near-URLLC and outlines proto...</t>
  </si>
  <si>
    <t xml:space="preserve">The article is partly perspective/survey based; supporting evidence is drawn ...</t>
  </si>
  <si>
    <t xml:space="preserve">A consolidated roadmap connecting current DECT-2020 NR mechanisms to near-URL...</t>
  </si>
  <si>
    <t xml:space="preserve">—DECT-2020 NR is a recently standardized radio access technology (RAT) for ma...</t>
  </si>
  <si>
    <t xml:space="preserve">85% of delivered packets compared to 98-99% for DECT-2020 NR. This results in...</t>
  </si>
  <si>
    <t xml:space="preserve">The study quantifies performance differences between DECT-2020 NR and the com...</t>
  </si>
  <si>
    <t xml:space="preserve">Compares DECT-2020 NR with FCC-oriented mesh IoT systems operating in DECT-re...</t>
  </si>
  <si>
    <t xml:space="preserve">Simulation assumptions may not capture commercial implementations, regulatory...</t>
  </si>
  <si>
    <t xml:space="preserve">Comparative evidence across regulatory/technology alternatives for mesh IoT o...</t>
  </si>
  <si>
    <t xml:space="preserve">—All the candidate technologies submitted to the ITUR are expected to meet th...</t>
  </si>
  <si>
    <t xml:space="preserve">communication (mMTC) scenario based on DECT2020 NR specifications. These appr...</t>
  </si>
  <si>
    <t xml:space="preserve">The assessment shows that multi-hop assistance can improve coverage and suppo...</t>
  </si>
  <si>
    <t xml:space="preserve">Provides a system-level assessment of multi-hop-assisted DECT-2020 NR for the...</t>
  </si>
  <si>
    <t xml:space="preserve">Simulation-only assessment with simplified deployment, traffic, and relaying ...</t>
  </si>
  <si>
    <t xml:space="preserve">Candidate-technology evaluation needed system-level evidence that multi-hop a...</t>
  </si>
  <si>
    <t xml:space="preserve">—We propose a comprehensive evaluation of ETSI/DECT-2020 New Radio (NR) as an...</t>
  </si>
  <si>
    <t xml:space="preserve">from link- and system-level simulations for both URLLC and mMTC use cases sho...</t>
  </si>
  <si>
    <t xml:space="preserve">The reported evaluation supports DECT-2020 NR's compliance with assessed mMTC...</t>
  </si>
  <si>
    <t xml:space="preserve">Summarizes DECT-2020 component-RIT implementation and evaluation contribution...</t>
  </si>
  <si>
    <t xml:space="preserve">Results rely mainly on simulation/analysis from the candidate evaluation proc...</t>
  </si>
  <si>
    <t xml:space="preserve">The implementation assumptions and evidence supporting DECT-2020 NR's IMT-202...</t>
  </si>
  <si>
    <t xml:space="preserve">—Digital enhanced cordless telecommunication new radio (DECT-2020 NR) is one ...</t>
  </si>
  <si>
    <t xml:space="preserve">MHz with a bandgap of 1728kHz [6]. Similar to NR, DECT2020 NR also provides a...</t>
  </si>
  <si>
    <t xml:space="preserve">Results indicate that multi-hop assistance improves the modeled mMTC performa...</t>
  </si>
  <si>
    <t xml:space="preserve">Analyzes multi-hop-assisted mMTC performance for DECT-2020 NR, focusing on li...</t>
  </si>
  <si>
    <t xml:space="preserve">The study uses analytical/simulation models without real-device validation; r...</t>
  </si>
  <si>
    <t xml:space="preserve">The benefits and limits of multi-hop assistance for dense mMTC had not been f...</t>
  </si>
  <si>
    <t xml:space="preserve">Critical Infrastructure; General IoT/mMTC</t>
  </si>
  <si>
    <t xml:space="preserve">Experimental scheduling and latency evaluation</t>
  </si>
  <si>
    <t xml:space="preserve">Industrial automation; sensor–actuator communication; URLLC</t>
  </si>
  <si>
    <t xml:space="preserve">Full experimental method and timing setup are described; code/data are not publicly stated.</t>
  </si>
  <si>
    <t xml:space="preserve">Objective (0-2)</t>
  </si>
  <si>
    <t xml:space="preserve">Methodology (0-2)</t>
  </si>
  <si>
    <t xml:space="preserve">Validation (0-2)</t>
  </si>
  <si>
    <t xml:space="preserve">Discussion/Limitations (0-2)</t>
  </si>
  <si>
    <t xml:space="preserve">Reproducibility (0-2)</t>
  </si>
  <si>
    <t xml:space="preserve">Total (0-10)</t>
  </si>
  <si>
    <t xml:space="preserve">Quality Level</t>
  </si>
  <si>
    <t xml:space="preserve">Assessment Status</t>
  </si>
  <si>
    <t xml:space="preserve">Provisional rule-based score</t>
  </si>
  <si>
    <t xml:space="preserve">Final manual assessment</t>
  </si>
  <si>
    <t xml:space="preserve">RQ1 Trends/Applications</t>
  </si>
  <si>
    <t xml:space="preserve">RQ2 Technical Areas</t>
  </si>
  <si>
    <t xml:space="preserve">RQ3 Methods/Platforms</t>
  </si>
  <si>
    <t xml:space="preserve">RQ4 Metrics/Performance</t>
  </si>
  <si>
    <t xml:space="preserve">RQ5 Contributions/Limitations</t>
  </si>
  <si>
    <t xml:space="preserve">RQ6 Research Gaps</t>
  </si>
  <si>
    <t xml:space="preserve">RQ7 Future Directions</t>
  </si>
  <si>
    <t xml:space="preserve">Partial</t>
  </si>
  <si>
    <t xml:space="preserve">Publication Year</t>
  </si>
  <si>
    <t xml:space="preserve">Paper Count</t>
  </si>
  <si>
    <t xml:space="preserve">Evaluation Method</t>
  </si>
  <si>
    <t xml:space="preserve">Technical Topic</t>
  </si>
  <si>
    <t xml:space="preserve">Performance Metric</t>
  </si>
  <si>
    <t xml:space="preserve">Moderate</t>
  </si>
  <si>
    <t xml:space="preserve">Low</t>
  </si>
  <si>
    <t xml:space="preserve">Other</t>
  </si>
  <si>
    <t xml:space="preserve">Inclusion Decision</t>
  </si>
  <si>
    <t xml:space="preserve">Decision Rationale</t>
  </si>
  <si>
    <t xml:space="preserve">Secondary Contributions</t>
  </si>
  <si>
    <t xml:space="preserve">Technical Topics</t>
  </si>
  <si>
    <t xml:space="preserve">Validation Level</t>
  </si>
  <si>
    <t xml:space="preserve">Hardware/Platform</t>
  </si>
  <si>
    <t xml:space="preserve">Software/Tools</t>
  </si>
  <si>
    <t xml:space="preserve">Topology</t>
  </si>
  <si>
    <t xml:space="preserve">Scenario/Environment</t>
  </si>
  <si>
    <t xml:space="preserve">Frequency/Band</t>
  </si>
  <si>
    <t xml:space="preserve">Network Scale</t>
  </si>
  <si>
    <t xml:space="preserve">Performance Metrics</t>
  </si>
  <si>
    <t xml:space="preserve">Research Objective</t>
  </si>
  <si>
    <t xml:space="preserve">Methodology Summary</t>
  </si>
  <si>
    <t xml:space="preserve">Key Results</t>
  </si>
  <si>
    <t xml:space="preserve">Country/Institution</t>
  </si>
  <si>
    <t xml:space="preserve">Coding Confidence</t>
  </si>
  <si>
    <t xml:space="preserve">Full-Text Verification</t>
  </si>
  <si>
    <t xml:space="preserve">Evidence Source</t>
  </si>
  <si>
    <t xml:space="preserve">Reviewer Notes</t>
  </si>
  <si>
    <t xml:space="preserve">Final Verification Basis</t>
  </si>
  <si>
    <t xml:space="preserve">Final Verification Status</t>
  </si>
  <si>
    <t xml:space="preserve">Verification Date</t>
  </si>
  <si>
    <t xml:space="preserve">Dataset Freeze Status</t>
  </si>
  <si>
    <t xml:space="preserve">Final Reviewer Note</t>
  </si>
  <si>
    <t xml:space="preserve">Primarily focused on DECT-2020 NR/DECT NR+ and relevant to the review questions.</t>
  </si>
  <si>
    <t xml:space="preserve">Coverage enhancement; relaying; URLLC</t>
  </si>
  <si>
    <t xml:space="preserve">PER/Packet Loss; Reliability; Energy</t>
  </si>
  <si>
    <t xml:space="preserve">General IoT/DECT NR+</t>
  </si>
  <si>
    <t xml:space="preserve">Implement and validate the procedure on real DECT NR+ hardware and study dyna...</t>
  </si>
  <si>
    <t xml:space="preserve">Final verification completed</t>
  </si>
  <si>
    <t xml:space="preserve">Full text/abstract and relevant method-results sections checked</t>
  </si>
  <si>
    <t xml:space="preserve">2026-07-10</t>
  </si>
  <si>
    <t xml:space="preserve">Frozen</t>
  </si>
  <si>
    <t xml:space="preserve">Included in final quantitative and qualitative synthesis.</t>
  </si>
  <si>
    <t xml:space="preserve">Multi-hop relaying; coverage; URLLC</t>
  </si>
  <si>
    <t xml:space="preserve">Prototype the extended MAC messages and relay assignment on commercial device...</t>
  </si>
  <si>
    <t xml:space="preserve">Paper abstract/full-text snippets cross-checked with scientific and evaluation audits</t>
  </si>
  <si>
    <t xml:space="preserve">Massive mesh; downlink capacity; source routing</t>
  </si>
  <si>
    <t xml:space="preserve">Outdoor; Industrial/Factory</t>
  </si>
  <si>
    <t xml:space="preserve">Throughput; PER/Packet Loss</t>
  </si>
  <si>
    <t xml:space="preserve">Evaluate multi-channel operation, dynamic traffic and topology, interference,...</t>
  </si>
  <si>
    <t xml:space="preserve">MAC/convergence-layer signaling; latency minimization; URLLC</t>
  </si>
  <si>
    <t xml:space="preserve">Latency; Throughput</t>
  </si>
  <si>
    <t xml:space="preserve">Implement the routing procedure, incorporate dynamic link quality and interfe...</t>
  </si>
  <si>
    <t xml:space="preserve">General wireless TSN survey; useful background but not primarily about DECT-2020 NR.</t>
  </si>
  <si>
    <t xml:space="preserve">Validate wireless TSN integration experimentally and investigate scheduling, ...</t>
  </si>
  <si>
    <t xml:space="preserve">Background/context only; excluded from core quantitative counts.</t>
  </si>
  <si>
    <t xml:space="preserve">5G NR mMTC scheduling paper; relevant methodologically but not a DECT-2020 NR study.</t>
  </si>
  <si>
    <t xml:space="preserve">PHY; MAC; Routing/Mesh; Industrial/Testbed/Ap...</t>
  </si>
  <si>
    <t xml:space="preserve">Implement the scheduler in a real gNB, test dynamic industrial traffic, and i...</t>
  </si>
  <si>
    <t xml:space="preserve">Range; latency; throughput; energy</t>
  </si>
  <si>
    <t xml:space="preserve">Point-to-point</t>
  </si>
  <si>
    <t xml:space="preserve">Indoor; Outdoor</t>
  </si>
  <si>
    <t xml:space="preserve">PDR/Success Rate; PER/Packet Loss; Energy</t>
  </si>
  <si>
    <t xml:space="preserve">General IoT; low-latency long-range links</t>
  </si>
  <si>
    <t xml:space="preserve">Assess multi-node and multi-hop deployments, coexistence, mobility, additiona...</t>
  </si>
  <si>
    <t xml:space="preserve">Industrial IoT; shadowing mitigation; MAC procedure; priority allocation</t>
  </si>
  <si>
    <t xml:space="preserve">Latency; Throughput; Energy</t>
  </si>
  <si>
    <t xml:space="preserve">Build an IRS-assisted testbed and study online channel estimation, IRS contro...</t>
  </si>
  <si>
    <t xml:space="preserve">PHY; MAC; Industrial/Testbed/Application; Modeling/Analytical</t>
  </si>
  <si>
    <t xml:space="preserve">Latency; PER/Packet Loss; Coverage/Range; Reliability</t>
  </si>
  <si>
    <t xml:space="preserve">Validate on operational infrastructure and investigate adaptive retransmissio...</t>
  </si>
  <si>
    <t xml:space="preserve">Duplicate bibliographic record of Paper ID 9.</t>
  </si>
  <si>
    <t xml:space="preserve">Latency; PER/Packet Loss; Reliability</t>
  </si>
  <si>
    <t xml:space="preserve">Duplicate confirmed; excluded from quantitative synthesis.</t>
  </si>
  <si>
    <t xml:space="preserve">Security; Wi-Fi interworking; direct connectivity</t>
  </si>
  <si>
    <t xml:space="preserve">PER/Packet Loss; Energy</t>
  </si>
  <si>
    <t xml:space="preserve">Evaluate larger deployments, mobility, energy, security attacks, interoperabi...</t>
  </si>
  <si>
    <t xml:space="preserve">Security; D2D; relay-assisted communication; 5G core integration</t>
  </si>
  <si>
    <t xml:space="preserve">Latency; PER/Packet Loss</t>
  </si>
  <si>
    <t xml:space="preserve">Validate with more RATs and vendors, larger field deployments, mobility, form...</t>
  </si>
  <si>
    <t xml:space="preserve">Latency; reliability; connection density</t>
  </si>
  <si>
    <t xml:space="preserve">Latency; BER; PER/Packet Loss; Reliability; Connection Density</t>
  </si>
  <si>
    <t xml:space="preserve">Repeat the assessment using complete system assumptions and validated models ...</t>
  </si>
  <si>
    <t xml:space="preserve">Latency–resource trade-off; PHY parameterization</t>
  </si>
  <si>
    <t xml:space="preserve">Evaluate the full MAC/application stack, packet-error performance, multi-stre...</t>
  </si>
  <si>
    <t xml:space="preserve">SDR/FPGA; synchronization; packet detection</t>
  </si>
  <si>
    <t xml:space="preserve">Integrate the detector into a complete SDR transceiver and validate it over t...</t>
  </si>
  <si>
    <t xml:space="preserve">Fagerholm - 2024 - FPGA-based DECT-2020 New Radio packet detection.summary.txt</t>
  </si>
  <si>
    <t xml:space="preserve">Robot-swarm platform based on BLE/TSCH rather than DECT-2020 NR.</t>
  </si>
  <si>
    <t xml:space="preserve">PHY; MAC; Routing/Mesh; Security/Multi-RAT; M...</t>
  </si>
  <si>
    <t xml:space="preserve">Latency; PDR/Success Rate; PER/Packet Loss; Energy</t>
  </si>
  <si>
    <t xml:space="preserve">Evaluate denser mobile swarms, interference robustness, energy consumption, a...</t>
  </si>
  <si>
    <t xml:space="preserve">Exclusion confirmed; not a primary DECT-2020 NR study.</t>
  </si>
  <si>
    <t xml:space="preserve">Localization; matrix completion; privacy</t>
  </si>
  <si>
    <t xml:space="preserve">Energy; Localization Error</t>
  </si>
  <si>
    <t xml:space="preserve">Implement the protocol on DECT NR+ devices and study mobility, noisy ranging,...</t>
  </si>
  <si>
    <t xml:space="preserve">HMM estimation; contention; delay</t>
  </si>
  <si>
    <t xml:space="preserve">Prototype the adaptive scheme and evaluate variable traffic, estimator robust...</t>
  </si>
  <si>
    <t xml:space="preserve">LBT; power control; ACK timing; priority queuing</t>
  </si>
  <si>
    <t xml:space="preserve">Validate on hardware and investigate adaptive configuration, scheduled access...</t>
  </si>
  <si>
    <t xml:space="preserve">Energy efficiency; PDR; data rate</t>
  </si>
  <si>
    <t xml:space="preserve">Develop real-time adaptive algorithms using feedback information and integrat...</t>
  </si>
  <si>
    <t xml:space="preserve">Range; power consumption; product landscape</t>
  </si>
  <si>
    <t xml:space="preserve">PER/Packet Loss; Coverage/Range; Energy</t>
  </si>
  <si>
    <t xml:space="preserve">Repeat measurements with mature multi-vendor hardware and evaluate mesh scala...</t>
  </si>
  <si>
    <t xml:space="preserve">Path loss; RSSI; SNR; success rate</t>
  </si>
  <si>
    <t xml:space="preserve">Indoor; Outdoor; Industrial/Factory</t>
  </si>
  <si>
    <t xml:space="preserve">PER/Packet Loss; RSSI; SNR/SINR; Coverage/Range; Reliability</t>
  </si>
  <si>
    <t xml:space="preserve">Develop refined propagation models and evaluate mobility, seasonal/environmen...</t>
  </si>
  <si>
    <t xml:space="preserve">Frequency selection; range; UAV connectivity</t>
  </si>
  <si>
    <t xml:space="preserve">Conduct UAV flight experiments and study mobility, Doppler, altitude, antenna...</t>
  </si>
  <si>
    <t xml:space="preserve">Hybrid RF/optical 6G architecture; DECT-2020 NR is not the principal technology.</t>
  </si>
  <si>
    <t xml:space="preserve">Build hybrid prototypes and study handover, scheduling, interference, energy,...</t>
  </si>
  <si>
    <t xml:space="preserve">LTE-M comparison; BER; spectral efficiency</t>
  </si>
  <si>
    <t xml:space="preserve">Latency; PER/Packet Loss; Energy</t>
  </si>
  <si>
    <t xml:space="preserve">Perform common-scenario simulations and testbed measurements covering energy,...</t>
  </si>
  <si>
    <t xml:space="preserve">mMTC density; LPWAN comparison; mesh architecture</t>
  </si>
  <si>
    <t xml:space="preserve">Validate density and delay results experimentally and investigate heterogeneo...</t>
  </si>
  <si>
    <t xml:space="preserve">Throughput; BER; PER/Packet Loss; Coverage/Range; Reliability; Energy</t>
  </si>
  <si>
    <t xml:space="preserve">Expand measurements across additional deployments and include energy, reliabi...</t>
  </si>
  <si>
    <t xml:space="preserve">Open-source SDR; AIoT; batteryless communication</t>
  </si>
  <si>
    <t xml:space="preserve">BER; PER/Packet Loss; Coverage/Range</t>
  </si>
  <si>
    <t xml:space="preserve">Improve BER and range, support multiple tags, test realistic industrial chann...</t>
  </si>
  <si>
    <t xml:space="preserve">Oil and gas; LS channel estimation; lab validation</t>
  </si>
  <si>
    <t xml:space="preserve">PER/Packet Loss; SNR/SINR; MSE</t>
  </si>
  <si>
    <t xml:space="preserve">Conduct field trials in operational oil-and-gas sites and evaluate real-time ...</t>
  </si>
  <si>
    <t xml:space="preserve">Industrial channel; reliability; MAC link control</t>
  </si>
  <si>
    <t xml:space="preserve">PER/Packet Loss; Reliability</t>
  </si>
  <si>
    <t xml:space="preserve">Implement MAC link adaptation and validate the findings in operational factor...</t>
  </si>
  <si>
    <t xml:space="preserve">Repeat assessment with standardized open models, commercial hardware, and upd...</t>
  </si>
  <si>
    <t xml:space="preserve">Validate energy and spectral-efficiency claims experimentally and assess resi...</t>
  </si>
  <si>
    <t xml:space="preserve">Age of Information; Markov/queueing analysis</t>
  </si>
  <si>
    <t xml:space="preserve">Study variable batch-service sizes, estimate real arrival-batch distributions...</t>
  </si>
  <si>
    <t xml:space="preserve">Human-in-the-loop; tactile Internet; low-cost prototype</t>
  </si>
  <si>
    <t xml:space="preserve">BER; PER/Packet Loss; Reliability</t>
  </si>
  <si>
    <t xml:space="preserve">Extend to larger interactive deployments and evaluate haptic traffic, reliabi...</t>
  </si>
  <si>
    <t xml:space="preserve">5G/IoT authentication thesis; DECT-2020 NR is an integration example rather than the core subject.</t>
  </si>
  <si>
    <t xml:space="preserve">PER/Packet Loss; Coverage/Range</t>
  </si>
  <si>
    <t xml:space="preserve">Perform adversarial testing, scale the prototype, compare authentication over...</t>
  </si>
  <si>
    <t xml:space="preserve">Mesh topology; duty cycle; latency–energy trade-off</t>
  </si>
  <si>
    <t xml:space="preserve">BER; Energy</t>
  </si>
  <si>
    <t xml:space="preserve">Measure commercial devices, develop energy-aware routing/sleep schemes, and s...</t>
  </si>
  <si>
    <t xml:space="preserve">Battery balancing; relay-role rotation</t>
  </si>
  <si>
    <t xml:space="preserve">Implement router rotation on hardware and optimize rotation using battery sta...</t>
  </si>
  <si>
    <t xml:space="preserve">Peak AoI; tandem queues</t>
  </si>
  <si>
    <t xml:space="preserve">BER; AoI</t>
  </si>
  <si>
    <t xml:space="preserve">Extend the model to variable service, retransmissions, correlated traffic, an...</t>
  </si>
  <si>
    <t xml:space="preserve">ITU-R channel models; URLLC and mMTC</t>
  </si>
  <si>
    <t xml:space="preserve">Validate with hardware and extend assessment to system-level scheduling, inte...</t>
  </si>
  <si>
    <t xml:space="preserve">Reliability; latency; HARQ; IMT-2020</t>
  </si>
  <si>
    <t xml:space="preserve">Perform hardware-in-the-loop and end-to-end tests and study interference, sch...</t>
  </si>
  <si>
    <t xml:space="preserve">BER; PER/Packet Loss</t>
  </si>
  <si>
    <t xml:space="preserve">Validate vertical use cases through large-scale industrial pilots and multi-v...</t>
  </si>
  <si>
    <t xml:space="preserve">QoS monitoring; critical infrastructure</t>
  </si>
  <si>
    <t xml:space="preserve">Run extended field trials, integrate grid protocols, and assess redundancy, s...</t>
  </si>
  <si>
    <t xml:space="preserve">Latency; Reliability; MSE</t>
  </si>
  <si>
    <t xml:space="preserve">Develop complete audio prototypes and measure codec, buffering, synchronizati...</t>
  </si>
  <si>
    <t xml:space="preserve">Test larger audio networks, clock synchronization, interference, redundancy, ...</t>
  </si>
  <si>
    <t xml:space="preserve">Private 5G deployment paper without a primary DECT-2020 NR contribution.</t>
  </si>
  <si>
    <t xml:space="preserve">PER/Packet Loss; Coverage/Range; Reliability</t>
  </si>
  <si>
    <t xml:space="preserve">Extend deployments, compare alternative technologies including DECT NR+, and ...</t>
  </si>
  <si>
    <t xml:space="preserve">Graph neural networks; DRL; multi-hop URLLC</t>
  </si>
  <si>
    <t xml:space="preserve">PER/Packet Loss; Energy; Fairness</t>
  </si>
  <si>
    <t xml:space="preserve">Validate on real meshes, use online/domain-adaptive learning, and study robus...</t>
  </si>
  <si>
    <t xml:space="preserve">Fisher information; EKF; range/AoA</t>
  </si>
  <si>
    <t xml:space="preserve">BER; PER/Packet Loss; Energy</t>
  </si>
  <si>
    <t xml:space="preserve">Validate with real ranging/RSS data, dynamic anchors, NLoS detection, mobilit...</t>
  </si>
  <si>
    <t xml:space="preserve">Fisher information; EKF/particle filter; range/AoA/RSS</t>
  </si>
  <si>
    <t xml:space="preserve">Conduct larger mobile trials, improve NLoS robustness, optimize online anchor...</t>
  </si>
  <si>
    <t xml:space="preserve">Classic DECT; LBT; last-minute scan; scheduled access</t>
  </si>
  <si>
    <t xml:space="preserve">Perform over-the-air coexistence tests with multiple vendors and study dense ...</t>
  </si>
  <si>
    <t xml:space="preserve">Relay selection; power control; energy conservation</t>
  </si>
  <si>
    <t xml:space="preserve">Validate on large testbeds and investigate adaptive access, scheduling, conge...</t>
  </si>
  <si>
    <t xml:space="preserve">Industrial use cases; performance requirements; roadmap</t>
  </si>
  <si>
    <t xml:space="preserve">Develop scheduled multi-hop access, improved prioritization, real testbeds, d...</t>
  </si>
  <si>
    <t xml:space="preserve">FCC UPCS rules; coexistence; LBT</t>
  </si>
  <si>
    <t xml:space="preserve">Perform cross-technology testbed measurements and study coexistence, spectrum...</t>
  </si>
  <si>
    <t xml:space="preserve">Resource allocation; relaying; connection density</t>
  </si>
  <si>
    <t xml:space="preserve">Coverage/Range; Energy</t>
  </si>
  <si>
    <t xml:space="preserve">Validate on large meshes and study adaptive routing, scheduling, mobility, en...</t>
  </si>
  <si>
    <t xml:space="preserve">Release reproducible models and validate with commercial testbeds, updated st...</t>
  </si>
  <si>
    <t xml:space="preserve">Multi-hop assistance; outage; BER</t>
  </si>
  <si>
    <t xml:space="preserve">Evaluate dynamic routing, hardware implementation, energy, mobility, and larg...</t>
  </si>
  <si>
    <t xml:space="preserve">NOMA; outage; BER</t>
  </si>
  <si>
    <t xml:space="preserve">Throughput; BER; PER/Packet Loss; Reliability; Energy; Fairness; Spectral Efficiency; MSE</t>
  </si>
  <si>
    <t xml:space="preserve">—Digital enhanced cordless telecommunication-2020 new radio (DECT-2020 NR) is...</t>
  </si>
  <si>
    <t xml:space="preserve">achieving a better spectral efficiency and massive connectivity. The link lev...</t>
  </si>
  <si>
    <t xml:space="preserve">The evaluated NOMA-assisted scheme improves outage/BER-related performance ov...</t>
  </si>
  <si>
    <t xml:space="preserve">Proposes and evaluates NOMA-assisted multi-hop DECT-2020 NR at link level to ...</t>
  </si>
  <si>
    <t xml:space="preserve">Link-level analytical/simulation study; receiver complexity, SIC error propag...</t>
  </si>
  <si>
    <t xml:space="preserve">Orthogonal DECT-2020 NR multi-hop links may not fully exploit shared resource...</t>
  </si>
  <si>
    <t xml:space="preserve">Prototype NOMA reception, integrate it with MAC/routing, and evaluate multi-u...</t>
  </si>
  <si>
    <t xml:space="preserve">Broad textbook/chapter overview of wireless technologies; not a focused DECT-2020 NR study.</t>
  </si>
  <si>
    <t xml:space="preserve">. . . . . . . . . . . . . . . . . . . . . . . . . . . . . . . . . . . . . . ....</t>
  </si>
  <si>
    <t xml:space="preserve">The chapter positions DECT-2020 NR among short-range and LPWAN alternatives b...</t>
  </si>
  <si>
    <t xml:space="preserve">Provides a broad textbook-style overview of short- and long-range wireless co...</t>
  </si>
  <si>
    <t xml:space="preserve">Not a focused DECT-2020 NR research study and contains no original DECT-speci...</t>
  </si>
  <si>
    <t xml:space="preserve">Readers need a consolidated overview of heterogeneous IoT connectivity option...</t>
  </si>
  <si>
    <t xml:space="preserve">Use focused empirical comparisons to update technology trade-offs as DECT NR+...</t>
  </si>
  <si>
    <t xml:space="preserve">USRP/GNU Radio; BER/PER; channel sounding</t>
  </si>
  <si>
    <t xml:space="preserve">Latency; BER; PER/Packet Loss; MSE</t>
  </si>
  <si>
    <t xml:space="preserve">—As there are no publications regarding the performance of DECT-2020 NR in re...</t>
  </si>
  <si>
    <t xml:space="preserve">bandwidths by adjusting the transmission numerology consisting of the subcarr...</t>
  </si>
  <si>
    <t xml:space="preserve">Simulation and SDR measurements demonstrate band- and environment-dependent p...</t>
  </si>
  <si>
    <t xml:space="preserve">Combines industrial-channel simulation and GNU Radio/USRP measurements to eva...</t>
  </si>
  <si>
    <t xml:space="preserve">The study covers selected industrial sites, bands, and SDR configurations; co...</t>
  </si>
  <si>
    <t xml:space="preserve">Practical evidence on how DECT-2020 NR behaves across frequency bands and rea...</t>
  </si>
  <si>
    <t xml:space="preserve">Extend to commercial devices, multiple factories, mobile machinery, multi-nod...</t>
  </si>
  <si>
    <t xml:space="preserve">Original DECT-2020 NR experimental study presented at INSECT 2026; proceedings publication is pending.</t>
  </si>
  <si>
    <t xml:space="preserve">RX–TX turnaround; UL/DL scheduling; hardware timing; industrial sensor–actuator communication</t>
  </si>
  <si>
    <t xml:space="preserve">Point-to-point FT/PT star topology</t>
  </si>
  <si>
    <t xml:space="preserve">Indoor laboratory; industrial sensor–actuator use case</t>
  </si>
  <si>
    <t xml:space="preserve">Latency; RX–TX turnaround; scheduling delay; end-to-end latency</t>
  </si>
  <si>
    <t xml:space="preserve">Germany; Aalen University of Applied Sciences</t>
  </si>
  <si>
    <t xml:space="preserve">Included although proceedings are pending because the full peer-reviewed paper was presented.</t>
  </si>
  <si>
    <t xml:space="preserve">Full paper, figures, methodology, results, and conclusion checked</t>
  </si>
  <si>
    <t xml:space="preserve">2026-07-13</t>
  </si>
  <si>
    <t xml:space="preserve">Frozen after Paper 59 inclusion</t>
  </si>
  <si>
    <t xml:space="preserve">Random Access</t>
  </si>
  <si>
    <t xml:space="preserve">Link Adaptation</t>
  </si>
  <si>
    <t xml:space="preserve">Coexistence/Regulation</t>
  </si>
  <si>
    <t xml:space="preserve">Industrial/Testbed</t>
  </si>
  <si>
    <t xml:space="preserve">Backscatter</t>
  </si>
  <si>
    <t xml:space="preserve">Professional Audio</t>
  </si>
  <si>
    <t xml:space="preserve">Analytical</t>
  </si>
  <si>
    <t xml:space="preserve">Numerical Simulation</t>
  </si>
  <si>
    <t xml:space="preserve">Event-Based Simulation</t>
  </si>
  <si>
    <t xml:space="preserve">Industrial Measurement</t>
  </si>
  <si>
    <t xml:space="preserve">Survey/Tutorial</t>
  </si>
  <si>
    <t xml:space="preserve">ns-3</t>
  </si>
  <si>
    <t xml:space="preserve">GNU Radio</t>
  </si>
  <si>
    <t xml:space="preserve">Python</t>
  </si>
  <si>
    <t xml:space="preserve">Zephyr</t>
  </si>
  <si>
    <t xml:space="preserve">FPGA</t>
  </si>
  <si>
    <t xml:space="preserve">Nordic nRF91</t>
  </si>
  <si>
    <t xml:space="preserve">USRP</t>
  </si>
  <si>
    <t xml:space="preserve">Open Source</t>
  </si>
  <si>
    <t xml:space="preserve">Included Flag</t>
  </si>
  <si>
    <t xml:space="preserve">Experimental Flag</t>
  </si>
  <si>
    <t xml:space="preserve">Simulation Flag</t>
  </si>
  <si>
    <t xml:space="preserve">RTT</t>
  </si>
  <si>
    <t xml:space="preserve">Throughput/Data Rate</t>
  </si>
  <si>
    <t xml:space="preserve">Reliability/Outage</t>
  </si>
  <si>
    <t xml:space="preserve">RSSI/Received Power</t>
  </si>
  <si>
    <t xml:space="preserve">Energy/Power</t>
  </si>
  <si>
    <t xml:space="preserve">Localization Error/RMSE</t>
  </si>
  <si>
    <t xml:space="preserve">Delay Spread</t>
  </si>
  <si>
    <t xml:space="preserve">Resource Utilization</t>
  </si>
  <si>
    <t xml:space="preserve">General IoT</t>
  </si>
  <si>
    <t xml:space="preserve">Industrial IoT/Factory</t>
  </si>
  <si>
    <t xml:space="preserve">URLLC/Near-URLLC</t>
  </si>
  <si>
    <t xml:space="preserve">Energy/Smart Grid</t>
  </si>
  <si>
    <t xml:space="preserve">Positioning/Tracking</t>
  </si>
  <si>
    <t xml:space="preserve">UAV</t>
  </si>
  <si>
    <t xml:space="preserve">Tactile Internet/Human-in-loop</t>
  </si>
  <si>
    <t xml:space="preserve">Ambient IoT/Backscatter</t>
  </si>
  <si>
    <t xml:space="preserve">Critical Infrastructure</t>
  </si>
  <si>
    <t xml:space="preserve">Multi-RAT/Direct Connectivity</t>
  </si>
  <si>
    <t xml:space="preserve">Smart City/Buildings</t>
  </si>
  <si>
    <t xml:space="preserve">Field</t>
  </si>
  <si>
    <t xml:space="preserve">Extracted Value</t>
  </si>
  <si>
    <t xml:space="preserve">Evidence Strength</t>
  </si>
  <si>
    <t xml:space="preserve">Needs Manual Check</t>
  </si>
  <si>
    <t xml:space="preserve">Decision</t>
  </si>
  <si>
    <t xml:space="preserve">Reason</t>
  </si>
  <si>
    <t xml:space="preserve">Duplicate Of</t>
  </si>
  <si>
    <t xml:space="preserve">Primary DECT Focus</t>
  </si>
  <si>
    <t xml:space="preserve">Peer Reviewed</t>
  </si>
  <si>
    <t xml:space="preserve">English</t>
  </si>
  <si>
    <t xml:space="preserve">Full Text Available</t>
  </si>
  <si>
    <t xml:space="preserve">Final Screening Status</t>
  </si>
  <si>
    <t xml:space="preserve">Included in synthesis</t>
  </si>
  <si>
    <t xml:space="preserve">Background only</t>
  </si>
  <si>
    <t xml:space="preserve">No/Unclear</t>
  </si>
  <si>
    <t xml:space="preserve">Original DECT-2020 NR experimental study; full paper presented at INSECT 2026, proceedings pending.</t>
  </si>
  <si>
    <t xml:space="preserve">Definition</t>
  </si>
  <si>
    <t xml:space="preserve">Coding Rule</t>
  </si>
  <si>
    <t xml:space="preserve">Example</t>
  </si>
  <si>
    <t xml:space="preserve">The paper's main scientific contribution.</t>
  </si>
  <si>
    <t xml:space="preserve">Assign exactly one label based on objective, novelty, and principal results.</t>
  </si>
  <si>
    <t xml:space="preserve">A routing algorithm remains Routing even if PHY assumptions are discussed.</t>
  </si>
  <si>
    <t xml:space="preserve">Additional substantive contributions.</t>
  </si>
  <si>
    <t xml:space="preserve">Multiple labels allowed; exclude generic background discussion.</t>
  </si>
  <si>
    <t xml:space="preserve">MAC protocol + coverage enhancement + URLLC.</t>
  </si>
  <si>
    <t xml:space="preserve">All technical areas materially addressed.</t>
  </si>
  <si>
    <t xml:space="preserve">Use 1 only when the paper models, proposes, evaluates, or measures the topic.</t>
  </si>
  <si>
    <t xml:space="preserve">Do not mark PHY merely because the standard PHY is described.</t>
  </si>
  <si>
    <t xml:space="preserve">Results produced by a computational model.</t>
  </si>
  <si>
    <t xml:space="preserve">Separate link-level, system-level, numerical, and event-based simulation.</t>
  </si>
  <si>
    <t xml:space="preserve">MATLAB BER curve = link-level simulation.</t>
  </si>
  <si>
    <t xml:space="preserve">Data collected from physical hardware or an SDR over the air.</t>
  </si>
  <si>
    <t xml:space="preserve">Hardware-in-the-loop without RF transmission is not automatically a field trial.</t>
  </si>
  <si>
    <t xml:space="preserve">USRP measurements in a factory = experimental/industrial.</t>
  </si>
  <si>
    <t xml:space="preserve">Mathematical derivation or optimization is central.</t>
  </si>
  <si>
    <t xml:space="preserve">Do not use only because equations appear in the paper.</t>
  </si>
  <si>
    <t xml:space="preserve">Queueing model or optimization formulation.</t>
  </si>
  <si>
    <t xml:space="preserve">DECT-2020 NR is the primary study object and contributes evidence to at least one RQ.</t>
  </si>
  <si>
    <t xml:space="preserve">Must be directly relevant, not a passing mention.</t>
  </si>
  <si>
    <t xml:space="preserve">DECT NR+ range measurement paper.</t>
  </si>
  <si>
    <t xml:space="preserve">Useful background but not a core DECT-2020 NR study.</t>
  </si>
  <si>
    <t xml:space="preserve">Do not include in quantitative DECT paper counts unless explicitly stated.</t>
  </si>
  <si>
    <t xml:space="preserve">General 5G scheduling paper.</t>
  </si>
  <si>
    <t xml:space="preserve">Fails the technology-focus or evidence criteria.</t>
  </si>
  <si>
    <t xml:space="preserve">Record the exclusion reason for PRISMA transparency.</t>
  </si>
  <si>
    <t xml:space="preserve">BLE/TSCH robot swarm paper.</t>
  </si>
  <si>
    <t xml:space="preserve">Confidence</t>
  </si>
  <si>
    <t xml:space="preserve">Strength of the coding evidence.</t>
  </si>
  <si>
    <t xml:space="preserve">High = checked against full text/abstract; Medium = summary-based; Low = metadata only.</t>
  </si>
  <si>
    <t xml:space="preserve">High for manually reviewed batches.</t>
  </si>
  <si>
    <t xml:space="preserve">Quality Scores</t>
  </si>
  <si>
    <t xml:space="preserve">Methodological quality, not paper impact.</t>
  </si>
  <si>
    <t xml:space="preserve">Score objective, method, validation, discussion, reproducibility from 0–2 each.</t>
  </si>
  <si>
    <t xml:space="preserve">Total 0–10.</t>
  </si>
  <si>
    <t xml:space="preserve">Included Papers</t>
  </si>
  <si>
    <t xml:space="preserve">SDR/Over-the-Air</t>
  </si>
  <si>
    <t xml:space="preserve">Primary Evaluation Method</t>
  </si>
  <si>
    <t xml:space="preserve">Evaluation Evidence</t>
  </si>
  <si>
    <t xml:space="preserve">DSO/GPIO measurements on two nRF9151 nodes plus internal modem timing analysis</t>
  </si>
  <si>
    <t xml:space="preserve">Screening Decision</t>
  </si>
  <si>
    <t xml:space="preserve">Included Paper Count</t>
  </si>
  <si>
    <t xml:space="preserve">Detailed Validation Type</t>
  </si>
  <si>
    <t xml:space="preserve">Other/Unclear</t>
  </si>
  <si>
    <t xml:space="preserve">Publication-Ready SLR Summary Tables</t>
  </si>
  <si>
    <t xml:space="preserve">Screening decision</t>
  </si>
  <si>
    <t xml:space="preserve">Records</t>
  </si>
  <si>
    <t xml:space="preserve">Evaluation method (multi-label)</t>
  </si>
  <si>
    <t xml:space="preserve">Included studies</t>
  </si>
  <si>
    <t xml:space="preserve">Detailed validation type</t>
  </si>
  <si>
    <t xml:space="preserve">Primary evaluation method</t>
  </si>
  <si>
    <t xml:space="preserve">Experimental/Testbed/Application</t>
  </si>
  <si>
    <t xml:space="preserve">Backscatter/Ambient IoT</t>
  </si>
  <si>
    <t xml:space="preserve">Queueing/AoI</t>
  </si>
  <si>
    <t xml:space="preserve">Verification Basis</t>
  </si>
  <si>
    <t xml:space="preserve">Full text/method-results checked</t>
  </si>
  <si>
    <t xml:space="preserve">Abstract/snippets plus audited extraction checked</t>
  </si>
  <si>
    <t xml:space="preserve">Primary Contribution Checked</t>
  </si>
  <si>
    <t xml:space="preserve">Evaluation Method Checked</t>
  </si>
  <si>
    <t xml:space="preserve">KPIs Checked</t>
  </si>
  <si>
    <t xml:space="preserve">Contribution/Limitations/Gap Checked</t>
  </si>
  <si>
    <t xml:space="preserve">Final Status</t>
  </si>
  <si>
    <t xml:space="preserve">Dataset Use</t>
  </si>
  <si>
    <t xml:space="preserve">Full text/abstract and relevant method-results sections</t>
  </si>
  <si>
    <t xml:space="preserve">Core quantitative and qualitative synthesis</t>
  </si>
  <si>
    <t xml:space="preserve">Paper abstract/full-text snippets plus scientific/evaluation audit</t>
  </si>
  <si>
    <t xml:space="preserve">Excluded from synthesis</t>
  </si>
  <si>
    <t xml:space="preserve">Full paper, figures, method, results, discussion, and conclusion checked</t>
  </si>
  <si>
    <t xml:space="preserve">Sheet</t>
  </si>
  <si>
    <t xml:space="preserve">Old Value</t>
  </si>
  <si>
    <t xml:space="preserve">Corrected Value</t>
  </si>
  <si>
    <t xml:space="preserve">Canonical Source</t>
  </si>
  <si>
    <t xml:space="preserve">Status</t>
  </si>
  <si>
    <t xml:space="preserve">Experimental_Methodology</t>
  </si>
  <si>
    <t xml:space="preserve">Evaluation_Matrix_V4</t>
  </si>
  <si>
    <t xml:space="preserve">Legacy sheet contradicted the final verified evaluation coding.</t>
  </si>
  <si>
    <t xml:space="preserve">Corrected</t>
  </si>
  <si>
    <t xml:space="preserve">—</t>
  </si>
  <si>
    <t xml:space="preserve">Workbook-wide</t>
  </si>
  <si>
    <t xml:space="preserve">Experimental methodology</t>
  </si>
  <si>
    <t xml:space="preserve">52 contradictory methodology/platform cells were synchronized.</t>
  </si>
  <si>
    <t xml:space="preserve">Technical classification</t>
  </si>
  <si>
    <t xml:space="preserve">Legacy over-tagging</t>
  </si>
  <si>
    <t xml:space="preserve">Synchronized</t>
  </si>
  <si>
    <t xml:space="preserve">Final_Topic_Matrix</t>
  </si>
  <si>
    <t xml:space="preserve">Technical_Classification now uses the conservative final topic coding.</t>
  </si>
  <si>
    <t xml:space="preserve">Performance metrics</t>
  </si>
  <si>
    <t xml:space="preserve">Parallel matrices differed</t>
  </si>
  <si>
    <t xml:space="preserve">KPI_Matrix_V3</t>
  </si>
  <si>
    <t xml:space="preserve">Performance_Metrics now matches the canonical KPI matrix for shared indicators.</t>
  </si>
  <si>
    <t xml:space="preserve">Master classifications</t>
  </si>
  <si>
    <t xml:space="preserve">Legacy values</t>
  </si>
  <si>
    <t xml:space="preserve">Gold_Standard_Register</t>
  </si>
  <si>
    <t xml:space="preserve">Inclusion, primary contribution, topics, and evaluation method synchronized.</t>
  </si>
  <si>
    <t xml:space="preserve">Paper inclusion</t>
  </si>
  <si>
    <t xml:space="preserve">Absent</t>
  </si>
  <si>
    <t xml:space="preserve">Added to all authoritative and synchronized sheets</t>
  </si>
  <si>
    <t xml:space="preserve">Full paper presented at INSECT 2026 and manually verified.</t>
  </si>
  <si>
    <t xml:space="preserve">Dashboard_V5</t>
  </si>
  <si>
    <t xml:space="preserve">Dataset denominator</t>
  </si>
  <si>
    <t xml:space="preserve">50 included / 58 records</t>
  </si>
  <si>
    <t xml:space="preserve">51 included / 59 records</t>
  </si>
  <si>
    <t xml:space="preserve">Results_Data_V5</t>
  </si>
  <si>
    <t xml:space="preserve">Dashboard and statistics recalculated after adding Paper 59.</t>
  </si>
  <si>
    <t xml:space="preserve">Cross-sheet consistency</t>
  </si>
  <si>
    <t xml:space="preserve">Not applicable</t>
  </si>
  <si>
    <t xml:space="preserve">All Paper 59 fields synchronized</t>
  </si>
  <si>
    <t xml:space="preserve">Gold_Standard_Register and final matrices</t>
  </si>
  <si>
    <t xml:space="preserve">Evaluation, topics, KPIs, applications, quality, and verification records agree.</t>
  </si>
  <si>
    <t xml:space="preserve">Role</t>
  </si>
  <si>
    <t xml:space="preserve">Authoritative?</t>
  </si>
  <si>
    <t xml:space="preserve">Use for Results?</t>
  </si>
  <si>
    <t xml:space="preserve">One-row master record for every paper</t>
  </si>
  <si>
    <t xml:space="preserve">Primary source for inclusion, contribution, evaluation narrative, limitations, gaps, and future work.</t>
  </si>
  <si>
    <t xml:space="preserve">Verified one-hot methodology coding</t>
  </si>
  <si>
    <t xml:space="preserve">Use for simulation, analytical, experimental/testbed, survey, and detailed validation counts.</t>
  </si>
  <si>
    <t xml:space="preserve">Conservative multi-label technical topic coding</t>
  </si>
  <si>
    <t xml:space="preserve">Use for technical topic counts and overlap analysis.</t>
  </si>
  <si>
    <t xml:space="preserve">Canonical KPI one-hot matrix</t>
  </si>
  <si>
    <t xml:space="preserve">Use for KPI frequency figures and tables.</t>
  </si>
  <si>
    <t xml:space="preserve">Final_Results_Data</t>
  </si>
  <si>
    <t xml:space="preserve">Formula-driven final counts</t>
  </si>
  <si>
    <t xml:space="preserve">Use for final statistics and figures.</t>
  </si>
  <si>
    <t xml:space="preserve">Dashboard_Final</t>
  </si>
  <si>
    <t xml:space="preserve">Final summary dashboard</t>
  </si>
  <si>
    <t xml:space="preserve">Displays the frozen final counts.</t>
  </si>
  <si>
    <t xml:space="preserve">Readable methodology view synchronized to Evaluation_Matrix_V4</t>
  </si>
  <si>
    <t xml:space="preserve">Optional</t>
  </si>
  <si>
    <t xml:space="preserve">No longer contains the contradictory hardware flags previously seen for Ahmad et al. 2025.</t>
  </si>
  <si>
    <t xml:space="preserve">Methods_Platforms_V3</t>
  </si>
  <si>
    <t xml:space="preserve">Detailed method/platform view synchronized to Evaluation_Matrix_V4</t>
  </si>
  <si>
    <t xml:space="preserve">Use for detailed platform/tool analysis.</t>
  </si>
  <si>
    <t xml:space="preserve">Technical_Classification</t>
  </si>
  <si>
    <t xml:space="preserve">Legacy-format topic matrix synchronized to Final_Topic_Matrix</t>
  </si>
  <si>
    <t xml:space="preserve">Kept for compatibility with earlier analyses.</t>
  </si>
  <si>
    <t xml:space="preserve">Performance_Metrics</t>
  </si>
  <si>
    <t xml:space="preserve">Legacy-format KPI matrix synchronized to KPI_Matrix_V3</t>
  </si>
  <si>
    <t xml:space="preserve">Cross_Sheet_Consistency</t>
  </si>
  <si>
    <t xml:space="preserve">Audit trail of contradictions and corrections</t>
  </si>
  <si>
    <t xml:space="preserve">Audit</t>
  </si>
  <si>
    <t xml:space="preserve">Documents 52 corrected methodology inconsistencies and other synchronized fields.</t>
  </si>
  <si>
    <t xml:space="preserve">Formula-driven data for all final dashboard figures</t>
  </si>
  <si>
    <t xml:space="preserve">Updated for 59 records and 51 included studies after adding Paper 59.</t>
  </si>
  <si>
    <t xml:space="preserve">Final publication dashboard</t>
  </si>
  <si>
    <t xml:space="preserve">All eight charts were rebuilt from Results_Data_V5 and audited one by one.</t>
  </si>
  <si>
    <t xml:space="preserve">Final_Audit_V6</t>
  </si>
  <si>
    <t xml:space="preserve">Sheet-by-sheet row and consistency audit</t>
  </si>
  <si>
    <t xml:space="preserve">Confirms 59 unique paper IDs across 21 paper-level sheets.</t>
  </si>
  <si>
    <t xml:space="preserve">Chart_Audit_V6</t>
  </si>
  <si>
    <t xml:space="preserve">Chart-by-chart source and result audit</t>
  </si>
  <si>
    <t xml:space="preserve">Confirms all eight dashboard charts match the verified data.</t>
  </si>
  <si>
    <t xml:space="preserve">Publication year</t>
  </si>
  <si>
    <t xml:space="preserve">Publication type</t>
  </si>
  <si>
    <t xml:space="preserve">Evaluation method</t>
  </si>
  <si>
    <t xml:space="preserve">Validation type</t>
  </si>
  <si>
    <t xml:space="preserve">Link-Level Sim.</t>
  </si>
  <si>
    <t xml:space="preserve">System-Level Sim.</t>
  </si>
  <si>
    <t xml:space="preserve">Event-Based Sim.</t>
  </si>
  <si>
    <t xml:space="preserve">Numerical Sim.</t>
  </si>
  <si>
    <t xml:space="preserve">SDR/OTA</t>
  </si>
  <si>
    <t xml:space="preserve">Industrial Measure.</t>
  </si>
  <si>
    <t xml:space="preserve">Technical topic</t>
  </si>
  <si>
    <t xml:space="preserve">Performance metric</t>
  </si>
  <si>
    <t xml:space="preserve">Platform / tool</t>
  </si>
  <si>
    <t xml:space="preserve">Primary contribution</t>
  </si>
  <si>
    <t xml:space="preserve">Quality level</t>
  </si>
  <si>
    <t xml:space="preserve">Scheduling/Resources</t>
  </si>
  <si>
    <t xml:space="preserve">PDR</t>
  </si>
  <si>
    <t xml:space="preserve">Industrial/App.</t>
  </si>
  <si>
    <t xml:space="preserve">Experimental/App.</t>
  </si>
  <si>
    <t xml:space="preserve">Resource Use</t>
  </si>
  <si>
    <t xml:space="preserve">DECT-2020 NR Systematic Literature Review — Final Dashboard V6</t>
  </si>
  <si>
    <t xml:space="preserve">All charts use only the final verified sheets. Core quantitative synthesis is based on 51 included studies from 59 records.</t>
  </si>
  <si>
    <t xml:space="preserve">Total records</t>
  </si>
  <si>
    <t xml:space="preserve">Excluded</t>
  </si>
  <si>
    <t xml:space="preserve">Experimental</t>
  </si>
  <si>
    <t xml:space="preserve">Survey</t>
  </si>
  <si>
    <t xml:space="preserve">AUDIT STATUS: PASS — 59 records, 51 included studies, 8/8 charts verified</t>
  </si>
  <si>
    <t xml:space="preserve">Reading note: Figures 4–8 are multi-label analyses. A single paper may contribute to several technical topics, evaluation methods, KPIs, or platforms; therefore, totals may exceed 51.</t>
  </si>
  <si>
    <t xml:space="preserve">Authoritative sources: Gold_Standard_Register, Evaluation_Matrix_V4, Final_Topic_Matrix, KPI_Matrix_V3, Methods_Platforms_V3, Primary_Category_V5, and Results_Data_V5. Paper 59 (INSECT 2026, presented; proceedings pending) is included.</t>
  </si>
  <si>
    <t xml:space="preserve">Automatically Generated Results Statements</t>
  </si>
  <si>
    <t xml:space="preserve">Result area</t>
  </si>
  <si>
    <t xml:space="preserve">Generated statement</t>
  </si>
  <si>
    <t xml:space="preserve">Screening</t>
  </si>
  <si>
    <t xml:space="preserve">Publication trend</t>
  </si>
  <si>
    <t xml:space="preserve">Evaluation methods</t>
  </si>
  <si>
    <t xml:space="preserve">Experimental evidence</t>
  </si>
  <si>
    <t xml:space="preserve">Technical focus</t>
  </si>
  <si>
    <t xml:space="preserve">Dataset rule</t>
  </si>
  <si>
    <t xml:space="preserve">Paper rows</t>
  </si>
  <si>
    <t xml:space="preserve">Last ID</t>
  </si>
  <si>
    <t xml:space="preserve">Duplicate IDs</t>
  </si>
  <si>
    <t xml:space="preserve">Row audit</t>
  </si>
  <si>
    <t xml:space="preserve">Paper 59 present</t>
  </si>
  <si>
    <t xml:space="preserve">Canonical source</t>
  </si>
  <si>
    <t xml:space="preserve">Consistency result</t>
  </si>
  <si>
    <t xml:space="preserve">SLR_Extraction</t>
  </si>
  <si>
    <t xml:space="preserve">None</t>
  </si>
  <si>
    <t xml:space="preserve">PASS</t>
  </si>
  <si>
    <t xml:space="preserve">Paper IDs 1–59 are present exactly once.</t>
  </si>
  <si>
    <t xml:space="preserve">Evaluation_Audit</t>
  </si>
  <si>
    <t xml:space="preserve">Scientific_Audit</t>
  </si>
  <si>
    <t xml:space="preserve">Master_Papers</t>
  </si>
  <si>
    <t xml:space="preserve">Network_Characteristics</t>
  </si>
  <si>
    <t xml:space="preserve">Scientific_Contribution</t>
  </si>
  <si>
    <t xml:space="preserve">Quality_Assessment</t>
  </si>
  <si>
    <t xml:space="preserve">Manual quality assessment</t>
  </si>
  <si>
    <t xml:space="preserve">Research_Questions</t>
  </si>
  <si>
    <t xml:space="preserve">Full paper / source evidence</t>
  </si>
  <si>
    <t xml:space="preserve">Topic_Matrix_V3</t>
  </si>
  <si>
    <t xml:space="preserve">Evaluation_Matrix_V4 + Gold_Standard_Register</t>
  </si>
  <si>
    <t xml:space="preserve">Applications_V3</t>
  </si>
  <si>
    <t xml:space="preserve">Inclusion_Exclusion</t>
  </si>
  <si>
    <t xml:space="preserve">Final_Verification_Log</t>
  </si>
  <si>
    <t xml:space="preserve">Primary_Category_V5</t>
  </si>
  <si>
    <t xml:space="preserve">Paper 59 field</t>
  </si>
  <si>
    <t xml:space="preserve">Expected value</t>
  </si>
  <si>
    <t xml:space="preserve">Gold Register</t>
  </si>
  <si>
    <t xml:space="preserve">Evaluation Matrix</t>
  </si>
  <si>
    <t xml:space="preserve">Topic Matrix</t>
  </si>
  <si>
    <t xml:space="preserve">KPI Matrix</t>
  </si>
  <si>
    <t xml:space="preserve">Methods/Platforms</t>
  </si>
  <si>
    <t xml:space="preserve">Applications</t>
  </si>
  <si>
    <t xml:space="preserve">Inclusion</t>
  </si>
  <si>
    <t xml:space="preserve">Evaluation</t>
  </si>
  <si>
    <t xml:space="preserve">Experimental + analytical</t>
  </si>
  <si>
    <t xml:space="preserve">Experimental=1; Analytical=1</t>
  </si>
  <si>
    <t xml:space="preserve">Hardware</t>
  </si>
  <si>
    <t xml:space="preserve">nRF9151 + DSO</t>
  </si>
  <si>
    <t xml:space="preserve">nRF9151; DSO; GPIO</t>
  </si>
  <si>
    <t xml:space="preserve">Hardware=1; Commercial=1</t>
  </si>
  <si>
    <t xml:space="preserve">nRF91=1; Hardware=1</t>
  </si>
  <si>
    <t xml:space="preserve">Topics</t>
  </si>
  <si>
    <t xml:space="preserve">PHY + MAC + Scheduling + Experimental + URLLC</t>
  </si>
  <si>
    <t xml:space="preserve">PHY; MAC; Scheduling; Experimental; URLLC</t>
  </si>
  <si>
    <t xml:space="preserve">PHY=1; MAC=1; Scheduling=1; Experimental=1; URLLC=1</t>
  </si>
  <si>
    <t xml:space="preserve">Industrial=1; URLLC=1</t>
  </si>
  <si>
    <t xml:space="preserve">KPI</t>
  </si>
  <si>
    <t xml:space="preserve">Latency=1</t>
  </si>
  <si>
    <t xml:space="preserve">Figure</t>
  </si>
  <si>
    <t xml:space="preserve">Dashboard chart</t>
  </si>
  <si>
    <t xml:space="preserve">Source range</t>
  </si>
  <si>
    <t xml:space="preserve">Purpose</t>
  </si>
  <si>
    <t xml:space="preserve">Current result</t>
  </si>
  <si>
    <t xml:space="preserve">Consistency test</t>
  </si>
  <si>
    <t xml:space="preserve">Paper 59 effect</t>
  </si>
  <si>
    <t xml:space="preserve">Included publications by year</t>
  </si>
  <si>
    <t xml:space="preserve">Results_Data_V5!D1:E8</t>
  </si>
  <si>
    <t xml:space="preserve">Annual publication trend</t>
  </si>
  <si>
    <t xml:space="preserve">2026=9; total=51</t>
  </si>
  <si>
    <t xml:space="preserve">Sum of annual counts equals included studies (51)</t>
  </si>
  <si>
    <t xml:space="preserve">2026 increased from 8 to 9</t>
  </si>
  <si>
    <t xml:space="preserve">Publication types</t>
  </si>
  <si>
    <t xml:space="preserve">Results_Data_V5!G1:H5</t>
  </si>
  <si>
    <t xml:space="preserve">Included studies by publication type</t>
  </si>
  <si>
    <t xml:space="preserve">Conference=36; Journal=5; Survey=7; Thesis=3</t>
  </si>
  <si>
    <t xml:space="preserve">Category sum equals 51</t>
  </si>
  <si>
    <t xml:space="preserve">Conference increased from 35 to 36</t>
  </si>
  <si>
    <t xml:space="preserve">Primary research contribution</t>
  </si>
  <si>
    <t xml:space="preserve">Results_Data_V5!J12:K21</t>
  </si>
  <si>
    <t xml:space="preserve">Exactly one primary contribution per study</t>
  </si>
  <si>
    <t xml:space="preserve">Category sum=51</t>
  </si>
  <si>
    <t xml:space="preserve">Primary-category sum equals included studies</t>
  </si>
  <si>
    <t xml:space="preserve">Industrial/Application increased from 13 to 14</t>
  </si>
  <si>
    <t xml:space="preserve">Technical topic coverage</t>
  </si>
  <si>
    <t xml:space="preserve">Results_Data_V5!A12:B28</t>
  </si>
  <si>
    <t xml:space="preserve">Multi-label technical topics</t>
  </si>
  <si>
    <t xml:space="preserve">Routing/Mesh=23; PHY=22; MAC=22</t>
  </si>
  <si>
    <t xml:space="preserve">All counts ≤51; multi-label total may exceed 51</t>
  </si>
  <si>
    <t xml:space="preserve">PHY +1; MAC +1; Scheduling +1; Experimental/App +1; URLLC +1</t>
  </si>
  <si>
    <t xml:space="preserve">Evaluation methodologies</t>
  </si>
  <si>
    <t xml:space="preserve">Results_Data_V5!J1:K5</t>
  </si>
  <si>
    <t xml:space="preserve">Multi-label study methodology</t>
  </si>
  <si>
    <t xml:space="preserve">Simulation=32; Analytical=23; Experimental=16; Survey=9</t>
  </si>
  <si>
    <t xml:space="preserve">Matches Evaluation_Matrix_V4 included rows</t>
  </si>
  <si>
    <t xml:space="preserve">Analytical +1; Experimental +1</t>
  </si>
  <si>
    <t xml:space="preserve">Detailed validation approaches</t>
  </si>
  <si>
    <t xml:space="preserve">Results_Data_V5!M1:N10</t>
  </si>
  <si>
    <t xml:space="preserve">Specific validation techniques</t>
  </si>
  <si>
    <t xml:space="preserve">Hardware=16; Commercial=11; Field=5; Industrial=3</t>
  </si>
  <si>
    <t xml:space="preserve">Matches detailed one-hot evaluation columns</t>
  </si>
  <si>
    <t xml:space="preserve">Hardware +1; Commercial +1</t>
  </si>
  <si>
    <t xml:space="preserve">Results_Data_V5!D12:E30</t>
  </si>
  <si>
    <t xml:space="preserve">Frequency of reported KPIs</t>
  </si>
  <si>
    <t xml:space="preserve">PER/Loss=40; Latency=15; Reliability=15</t>
  </si>
  <si>
    <t xml:space="preserve">Matches KPI_Matrix_V3 included rows</t>
  </si>
  <si>
    <t xml:space="preserve">Latency +1</t>
  </si>
  <si>
    <t xml:space="preserve">Experimental/software platforms</t>
  </si>
  <si>
    <t xml:space="preserve">Results_Data_V5!G12:H21</t>
  </si>
  <si>
    <t xml:space="preserve">Tools and hardware platforms</t>
  </si>
  <si>
    <t xml:space="preserve">Nordic nRF91=5; Zephyr=1; GNU Radio=1; FPGA=1; USRP=1</t>
  </si>
  <si>
    <t xml:space="preserve">Matches Methods_Platforms_V3 included rows</t>
  </si>
  <si>
    <t xml:space="preserve">Nordic nRF91 +1; Zephyr +1</t>
  </si>
</sst>
</file>

<file path=xl/styles.xml><?xml version="1.0" encoding="utf-8"?>
<styleSheet xmlns="http://schemas.openxmlformats.org/spreadsheetml/2006/main">
  <numFmts count="6">
    <numFmt numFmtId="164" formatCode="General"/>
    <numFmt numFmtId="165" formatCode="_(* #,##0.00_);_(* \(#,##0.00\);_(* \-??_);_(@_)"/>
    <numFmt numFmtId="166" formatCode="_(* #,##0_);_(* \(#,##0\);_(* \-_);_(@_)"/>
    <numFmt numFmtId="167" formatCode="_(\$* #,##0.00_);_(\$* \(#,##0.00\);_(\$* \-??_);_(@_)"/>
    <numFmt numFmtId="168" formatCode="_(\$* #,##0_);_(\$* \(#,##0\);_(\$* \-_);_(@_)"/>
    <numFmt numFmtId="169" formatCode="0%"/>
  </numFmts>
  <fonts count="21">
    <font>
      <sz val="10"/>
      <name val="Arial"/>
      <family val="2"/>
      <charset val="1"/>
    </font>
    <font>
      <sz val="10"/>
      <name val="Arial"/>
      <family val="0"/>
    </font>
    <font>
      <sz val="10"/>
      <name val="Arial"/>
      <family val="0"/>
    </font>
    <font>
      <sz val="10"/>
      <name val="Arial"/>
      <family val="0"/>
    </font>
    <font>
      <sz val="10"/>
      <name val="Arial"/>
      <family val="0"/>
      <charset val="1"/>
    </font>
    <font>
      <sz val="11"/>
      <name val="Calibri"/>
      <family val="0"/>
      <charset val="1"/>
    </font>
    <font>
      <b val="true"/>
      <sz val="14"/>
      <color rgb="FFFFFFFF"/>
      <name val="Calibri"/>
      <family val="0"/>
      <charset val="1"/>
    </font>
    <font>
      <b val="true"/>
      <sz val="11"/>
      <color rgb="FFFFFFFF"/>
      <name val="Calibri"/>
      <family val="0"/>
      <charset val="1"/>
    </font>
    <font>
      <b val="true"/>
      <sz val="10"/>
      <color rgb="FFFFFFFF"/>
      <name val="Arial"/>
      <family val="0"/>
      <charset val="1"/>
    </font>
    <font>
      <b val="true"/>
      <sz val="10"/>
      <name val="Arial"/>
      <family val="0"/>
      <charset val="1"/>
    </font>
    <font>
      <b val="true"/>
      <sz val="18"/>
      <color rgb="FF000000"/>
      <name val="Calibri"/>
      <family val="2"/>
    </font>
    <font>
      <sz val="10"/>
      <color rgb="FF000000"/>
      <name val="Calibri"/>
      <family val="2"/>
    </font>
    <font>
      <b val="true"/>
      <sz val="16"/>
      <color rgb="FFFFFFFF"/>
      <name val="Arial"/>
      <family val="0"/>
      <charset val="1"/>
    </font>
    <font>
      <b val="true"/>
      <sz val="18"/>
      <color rgb="FFFFFFFF"/>
      <name val="Arial"/>
      <family val="0"/>
      <charset val="1"/>
    </font>
    <font>
      <i val="true"/>
      <sz val="10"/>
      <color rgb="FF1F4E78"/>
      <name val="Arial"/>
      <family val="0"/>
      <charset val="1"/>
    </font>
    <font>
      <b val="true"/>
      <sz val="13"/>
      <color rgb="FF006100"/>
      <name val="Arial"/>
      <family val="0"/>
      <charset val="1"/>
    </font>
    <font>
      <b val="true"/>
      <sz val="14"/>
      <color rgb="FF17365D"/>
      <name val="Arial"/>
      <family val="0"/>
      <charset val="1"/>
    </font>
    <font>
      <i val="true"/>
      <sz val="10"/>
      <color rgb="FF7F6000"/>
      <name val="Arial"/>
      <family val="0"/>
      <charset val="1"/>
    </font>
    <font>
      <b val="true"/>
      <sz val="10"/>
      <color rgb="FF375623"/>
      <name val="Arial"/>
      <family val="0"/>
      <charset val="1"/>
    </font>
    <font>
      <sz val="16"/>
      <color rgb="FF000000"/>
      <name val="Calibri"/>
      <family val="2"/>
    </font>
    <font>
      <b val="true"/>
      <sz val="10"/>
      <color rgb="FF1F4E78"/>
      <name val="Arial"/>
      <family val="0"/>
      <charset val="1"/>
    </font>
  </fonts>
  <fills count="12">
    <fill>
      <patternFill patternType="none"/>
    </fill>
    <fill>
      <patternFill patternType="gray125"/>
    </fill>
    <fill>
      <patternFill patternType="solid">
        <fgColor rgb="FFC00000"/>
        <bgColor rgb="FF9C0006"/>
      </patternFill>
    </fill>
    <fill>
      <patternFill patternType="solid">
        <fgColor rgb="FF5B9BD5"/>
        <bgColor rgb="FF8B8B8B"/>
      </patternFill>
    </fill>
    <fill>
      <patternFill patternType="solid">
        <fgColor rgb="FF1F4E78"/>
        <bgColor rgb="FF156082"/>
      </patternFill>
    </fill>
    <fill>
      <patternFill patternType="solid">
        <fgColor rgb="FF17365D"/>
        <bgColor rgb="FF1F4E78"/>
      </patternFill>
    </fill>
    <fill>
      <patternFill patternType="solid">
        <fgColor rgb="FFC65911"/>
        <bgColor rgb="FF7F6000"/>
      </patternFill>
    </fill>
    <fill>
      <patternFill patternType="solid">
        <fgColor rgb="FFD9EAF7"/>
        <bgColor rgb="FFEAF2F8"/>
      </patternFill>
    </fill>
    <fill>
      <patternFill patternType="solid">
        <fgColor rgb="FFC6E0B4"/>
        <bgColor rgb="FFD9EAD3"/>
      </patternFill>
    </fill>
    <fill>
      <patternFill patternType="solid">
        <fgColor rgb="FFEAF2F8"/>
        <bgColor rgb="FFE6F4EA"/>
      </patternFill>
    </fill>
    <fill>
      <patternFill patternType="solid">
        <fgColor rgb="FFFFF2CC"/>
        <bgColor rgb="FFFCE5CD"/>
      </patternFill>
    </fill>
    <fill>
      <patternFill patternType="solid">
        <fgColor rgb="FFE2F0D9"/>
        <bgColor rgb="FFE6F4EA"/>
      </patternFill>
    </fill>
  </fills>
  <borders count="1">
    <border diagonalUp="false" diagonalDown="false">
      <left/>
      <right/>
      <top/>
      <bottom/>
      <diagonal/>
    </border>
  </borders>
  <cellStyleXfs count="27">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true" applyProtection="false">
      <alignment horizontal="general" vertical="bottom" textRotation="0" wrapText="false" indent="0" shrinkToFit="false"/>
    </xf>
    <xf numFmtId="166" fontId="4" fillId="0" borderId="0" applyFont="true" applyBorder="false" applyAlignment="true" applyProtection="false">
      <alignment horizontal="general" vertical="bottom" textRotation="0" wrapText="false" indent="0" shrinkToFit="false"/>
    </xf>
    <xf numFmtId="167" fontId="4" fillId="0" borderId="0" applyFont="true" applyBorder="false" applyAlignment="true" applyProtection="false">
      <alignment horizontal="general" vertical="bottom" textRotation="0" wrapText="false" indent="0" shrinkToFit="false"/>
    </xf>
    <xf numFmtId="168" fontId="4"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9" fontId="4" fillId="0" borderId="0" applyFont="true" applyBorder="false" applyAlignment="true" applyProtection="false">
      <alignment horizontal="general" vertical="bottom" textRotation="0" wrapText="false" indent="0" shrinkToFit="false"/>
    </xf>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6" fillId="2" borderId="0" xfId="24" applyFont="true" applyBorder="true" applyAlignment="true" applyProtection="true">
      <alignment horizontal="center" vertical="center" textRotation="0" wrapText="true" indent="0" shrinkToFit="false"/>
      <protection locked="true" hidden="false"/>
    </xf>
    <xf numFmtId="164" fontId="7" fillId="3" borderId="0" xfId="25" applyFont="true" applyBorder="true" applyAlignment="true" applyProtection="true">
      <alignment horizontal="general" vertical="bottom" textRotation="0" wrapText="false" indent="0" shrinkToFit="false"/>
      <protection locked="true" hidden="false"/>
    </xf>
    <xf numFmtId="164" fontId="7" fillId="4" borderId="0" xfId="24" applyFont="true" applyBorder="true" applyAlignment="true" applyProtection="true">
      <alignment horizontal="center" vertical="center" textRotation="0" wrapText="true" indent="0" shrinkToFit="false"/>
      <protection locked="true" hidden="false"/>
    </xf>
    <xf numFmtId="164" fontId="4" fillId="0" borderId="0" xfId="24" applyFont="true" applyBorder="true" applyAlignment="true" applyProtection="true">
      <alignment horizontal="general" vertical="bottom" textRotation="0" wrapText="true" indent="0" shrinkToFit="false"/>
      <protection locked="true" hidden="false"/>
    </xf>
    <xf numFmtId="164" fontId="8" fillId="4" borderId="0" xfId="24" applyFont="true" applyBorder="true" applyAlignment="true" applyProtection="true">
      <alignment horizontal="center" vertical="center" textRotation="0" wrapText="true" indent="0" shrinkToFit="false"/>
      <protection locked="true" hidden="false"/>
    </xf>
    <xf numFmtId="164" fontId="9" fillId="0" borderId="0" xfId="24" applyFont="true" applyBorder="true" applyAlignment="true" applyProtection="true">
      <alignment horizontal="general" vertical="bottom" textRotation="0" wrapText="true" indent="0" shrinkToFit="false"/>
      <protection locked="true" hidden="false"/>
    </xf>
    <xf numFmtId="164" fontId="7" fillId="4" borderId="0" xfId="25" applyFont="true" applyBorder="true" applyAlignment="true" applyProtection="true">
      <alignment horizontal="center" vertical="bottom" textRotation="0" wrapText="true" indent="0" shrinkToFit="false"/>
      <protection locked="true" hidden="false"/>
    </xf>
    <xf numFmtId="164" fontId="8" fillId="4" borderId="0" xfId="24" applyFont="true" applyBorder="true" applyAlignment="true" applyProtection="true">
      <alignment horizontal="center" vertical="top" textRotation="0" wrapText="true" indent="0" shrinkToFit="false"/>
      <protection locked="true" hidden="false"/>
    </xf>
    <xf numFmtId="164" fontId="4" fillId="0" borderId="0" xfId="24" applyFont="true" applyBorder="true" applyAlignment="true" applyProtection="true">
      <alignment horizontal="center" vertical="top" textRotation="0" wrapText="true" indent="0" shrinkToFit="false"/>
      <protection locked="true" hidden="false"/>
    </xf>
    <xf numFmtId="164" fontId="4" fillId="0" borderId="0" xfId="24" applyFont="true" applyBorder="true" applyAlignment="true" applyProtection="true">
      <alignment horizontal="general" vertical="top" textRotation="0" wrapText="true" indent="0" shrinkToFit="false"/>
      <protection locked="true" hidden="false"/>
    </xf>
    <xf numFmtId="164" fontId="8" fillId="4" borderId="0" xfId="24" applyFont="true" applyBorder="true" applyAlignment="true" applyProtection="true">
      <alignment horizontal="general" vertical="bottom" textRotation="0" wrapText="true" indent="0" shrinkToFit="false"/>
      <protection locked="true" hidden="false"/>
    </xf>
    <xf numFmtId="164" fontId="5" fillId="0" borderId="0" xfId="25" applyFont="true" applyBorder="true" applyAlignment="true" applyProtection="true">
      <alignment horizontal="general" vertical="top" textRotation="0" wrapText="true" indent="0" shrinkToFit="false"/>
      <protection locked="true" hidden="false"/>
    </xf>
    <xf numFmtId="164" fontId="5" fillId="0" borderId="0" xfId="24" applyFont="true" applyBorder="true" applyAlignment="true" applyProtection="true">
      <alignment horizontal="general" vertical="top" textRotation="0" wrapText="true" indent="0" shrinkToFit="false"/>
      <protection locked="true" hidden="false"/>
    </xf>
    <xf numFmtId="164" fontId="8" fillId="5" borderId="0" xfId="24" applyFont="true" applyBorder="true" applyAlignment="true" applyProtection="true">
      <alignment horizontal="center" vertical="center" textRotation="0" wrapText="true" indent="0" shrinkToFit="false"/>
      <protection locked="true" hidden="false"/>
    </xf>
    <xf numFmtId="164" fontId="12" fillId="5" borderId="0" xfId="24" applyFont="true" applyBorder="true" applyAlignment="true" applyProtection="true">
      <alignment horizontal="center" vertical="center" textRotation="0" wrapText="true" indent="0" shrinkToFit="false"/>
      <protection locked="true" hidden="false"/>
    </xf>
    <xf numFmtId="164" fontId="4" fillId="0" borderId="0" xfId="24" applyFont="true" applyBorder="false" applyAlignment="true" applyProtection="true">
      <alignment horizontal="general" vertical="bottom" textRotation="0" wrapText="true" indent="0" shrinkToFit="false"/>
      <protection locked="true" hidden="false"/>
    </xf>
    <xf numFmtId="164" fontId="8" fillId="4" borderId="0" xfId="24" applyFont="true" applyBorder="false" applyAlignment="true" applyProtection="true">
      <alignment horizontal="center" vertical="center" textRotation="0" wrapText="true" indent="0" shrinkToFit="false"/>
      <protection locked="true" hidden="false"/>
    </xf>
    <xf numFmtId="164" fontId="8" fillId="6" borderId="0" xfId="24" applyFont="true" applyBorder="true" applyAlignment="true" applyProtection="true">
      <alignment horizontal="center" vertical="top" textRotation="0" wrapText="true" indent="0" shrinkToFit="false"/>
      <protection locked="true" hidden="false"/>
    </xf>
    <xf numFmtId="164" fontId="8" fillId="5" borderId="0" xfId="24" applyFont="true" applyBorder="true" applyAlignment="true" applyProtection="true">
      <alignment horizontal="center" vertical="top" textRotation="0" wrapText="true" indent="0" shrinkToFit="false"/>
      <protection locked="true" hidden="false"/>
    </xf>
    <xf numFmtId="164" fontId="13" fillId="5" borderId="0" xfId="24" applyFont="true" applyBorder="true" applyAlignment="true" applyProtection="true">
      <alignment horizontal="center" vertical="center" textRotation="0" wrapText="false" indent="0" shrinkToFit="false"/>
      <protection locked="true" hidden="false"/>
    </xf>
    <xf numFmtId="164" fontId="14" fillId="7" borderId="0" xfId="24" applyFont="true" applyBorder="true" applyAlignment="true" applyProtection="true">
      <alignment horizontal="center" vertical="center" textRotation="0" wrapText="false" indent="0" shrinkToFit="false"/>
      <protection locked="true" hidden="false"/>
    </xf>
    <xf numFmtId="164" fontId="8" fillId="3" borderId="0" xfId="24" applyFont="true" applyBorder="true" applyAlignment="true" applyProtection="true">
      <alignment horizontal="center" vertical="center" textRotation="0" wrapText="true" indent="0" shrinkToFit="false"/>
      <protection locked="true" hidden="false"/>
    </xf>
    <xf numFmtId="164" fontId="15" fillId="8" borderId="0" xfId="24" applyFont="true" applyBorder="true" applyAlignment="true" applyProtection="true">
      <alignment horizontal="center" vertical="center" textRotation="0" wrapText="true" indent="0" shrinkToFit="false"/>
      <protection locked="true" hidden="false"/>
    </xf>
    <xf numFmtId="164" fontId="16" fillId="9" borderId="0" xfId="24" applyFont="true" applyBorder="true" applyAlignment="true" applyProtection="true">
      <alignment horizontal="center" vertical="center" textRotation="0" wrapText="false" indent="0" shrinkToFit="false"/>
      <protection locked="true" hidden="false"/>
    </xf>
    <xf numFmtId="164" fontId="17" fillId="10" borderId="0" xfId="24" applyFont="true" applyBorder="true" applyAlignment="true" applyProtection="true">
      <alignment horizontal="general" vertical="center" textRotation="0" wrapText="true" indent="0" shrinkToFit="false"/>
      <protection locked="true" hidden="false"/>
    </xf>
    <xf numFmtId="164" fontId="18" fillId="11" borderId="0" xfId="24" applyFont="true" applyBorder="true" applyAlignment="true" applyProtection="true">
      <alignment horizontal="general" vertical="center" textRotation="0" wrapText="true" indent="0" shrinkToFit="false"/>
      <protection locked="true" hidden="false"/>
    </xf>
    <xf numFmtId="164" fontId="12" fillId="5" borderId="0" xfId="24" applyFont="true" applyBorder="true" applyAlignment="true" applyProtection="true">
      <alignment horizontal="center" vertical="top" textRotation="0" wrapText="true" indent="0" shrinkToFit="false"/>
      <protection locked="true" hidden="false"/>
    </xf>
    <xf numFmtId="164" fontId="20" fillId="7" borderId="0" xfId="24" applyFont="true" applyBorder="true" applyAlignment="true" applyProtection="true">
      <alignment horizontal="general" vertical="top" textRotation="0" wrapText="true" indent="0" shrinkToFit="false"/>
      <protection locked="true" hidden="false"/>
    </xf>
  </cellXfs>
  <cellStyles count="13">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0]" xfId="21"/>
    <cellStyle name="Currency" xfId="22"/>
    <cellStyle name="Currency [0]" xfId="23"/>
    <cellStyle name="Normal" xfId="24"/>
    <cellStyle name="Normal 1" xfId="25"/>
    <cellStyle name="Percent" xfId="26"/>
  </cellStyles>
  <dxfs count="49">
    <dxf>
      <font>
        <b val="1"/>
        <color rgb="FFB91C1C"/>
      </font>
      <fill>
        <patternFill>
          <bgColor rgb="FFFCE8E6"/>
        </patternFill>
      </fill>
    </dxf>
    <dxf>
      <font>
        <color rgb="FF137333"/>
      </font>
      <fill>
        <patternFill>
          <bgColor rgb="FFE6F4EA"/>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D9EAD3"/>
          <bgColor rgb="FF000000"/>
        </patternFill>
      </fill>
    </dxf>
    <dxf>
      <fill>
        <patternFill patternType="solid">
          <fgColor rgb="FFFCE5CD"/>
          <bgColor rgb="FF000000"/>
        </patternFill>
      </fill>
    </dxf>
    <dxf>
      <fill>
        <patternFill>
          <bgColor rgb="FFD9EAD3"/>
        </patternFill>
      </fill>
    </dxf>
    <dxf>
      <fill>
        <patternFill>
          <bgColor rgb="FFFFF2CC"/>
        </patternFill>
      </fill>
    </dxf>
    <dxf>
      <fill>
        <patternFill>
          <bgColor rgb="FFF4CCCC"/>
        </patternFill>
      </fill>
    </dxf>
    <dxf>
      <fill>
        <patternFill>
          <bgColor rgb="FFFCE5CD"/>
        </patternFill>
      </fill>
    </dxf>
    <dxf>
      <font>
        <color rgb="FF006100"/>
      </font>
      <fill>
        <patternFill>
          <bgColor rgb="FFC6E0B4"/>
        </patternFill>
      </fill>
    </dxf>
    <dxf>
      <font>
        <color rgb="FFA6A6A6"/>
      </font>
    </dxf>
    <dxf>
      <font>
        <color rgb="FF006100"/>
      </font>
      <fill>
        <patternFill>
          <bgColor rgb="FFC6E0B4"/>
        </patternFill>
      </fill>
    </dxf>
    <dxf>
      <font>
        <color rgb="FFA6A6A6"/>
      </font>
    </dxf>
    <dxf>
      <font>
        <color rgb="FF006100"/>
      </font>
      <fill>
        <patternFill>
          <bgColor rgb="FFC6E0B4"/>
        </patternFill>
      </fill>
    </dxf>
    <dxf>
      <font>
        <color rgb="FF006100"/>
      </font>
      <fill>
        <patternFill>
          <bgColor rgb="FFC6E0B4"/>
        </patternFill>
      </fill>
    </dxf>
    <dxf>
      <font>
        <color rgb="FFA6A6A6"/>
      </font>
    </dxf>
    <dxf>
      <fill>
        <patternFill patternType="solid">
          <fgColor rgb="FFC6E0B4"/>
          <bgColor rgb="FF000000"/>
        </patternFill>
      </fill>
    </dxf>
    <dxf>
      <fill>
        <patternFill patternType="solid">
          <fgColor rgb="FFD9D9D9"/>
          <bgColor rgb="FF000000"/>
        </patternFill>
      </fill>
    </dxf>
    <dxf>
      <fill>
        <patternFill patternType="solid">
          <fgColor rgb="FFF4CCCC"/>
          <bgColor rgb="FF000000"/>
        </patternFill>
      </fill>
    </dxf>
    <dxf>
      <fill>
        <patternFill patternType="solid">
          <fgColor rgb="FFFFF2CC"/>
          <bgColor rgb="FF000000"/>
        </patternFill>
      </fill>
    </dxf>
    <dxf>
      <fill>
        <patternFill patternType="solid">
          <fgColor rgb="FF006100"/>
          <bgColor rgb="FF000000"/>
        </patternFill>
      </fill>
    </dxf>
    <dxf>
      <fill>
        <patternFill patternType="solid">
          <fgColor rgb="FF666666"/>
          <bgColor rgb="FF000000"/>
        </patternFill>
      </fill>
    </dxf>
    <dxf>
      <fill>
        <patternFill patternType="solid">
          <fgColor rgb="FF7F6000"/>
          <bgColor rgb="FF000000"/>
        </patternFill>
      </fill>
    </dxf>
    <dxf>
      <fill>
        <patternFill patternType="solid">
          <fgColor rgb="FF9C0006"/>
          <bgColor rgb="FF000000"/>
        </patternFill>
      </fill>
    </dxf>
    <dxf>
      <font>
        <color rgb="FF006100"/>
      </font>
      <fill>
        <patternFill>
          <bgColor rgb="FFC6E0B4"/>
        </patternFill>
      </fill>
    </dxf>
    <dxf>
      <font>
        <color rgb="FF7F6000"/>
      </font>
      <fill>
        <patternFill>
          <bgColor rgb="FFFFF2CC"/>
        </patternFill>
      </fill>
    </dxf>
    <dxf>
      <font>
        <color rgb="FF9C0006"/>
      </font>
      <fill>
        <patternFill>
          <bgColor rgb="FFF4CCCC"/>
        </patternFill>
      </fill>
    </dxf>
    <dxf>
      <font>
        <color rgb="FF666666"/>
      </font>
      <fill>
        <patternFill>
          <bgColor rgb="FFD9D9D9"/>
        </patternFill>
      </fill>
    </dxf>
    <dxf>
      <font>
        <color rgb="FF006100"/>
      </font>
      <fill>
        <patternFill>
          <bgColor rgb="FFC6E0B4"/>
        </patternFill>
      </fill>
    </dxf>
    <dxf>
      <font>
        <color rgb="FFB7B7B7"/>
      </font>
    </dxf>
    <dxf>
      <font>
        <color rgb="FF006100"/>
      </font>
      <fill>
        <patternFill>
          <bgColor rgb="FFC6E0B4"/>
        </patternFill>
      </fill>
    </dxf>
    <dxf>
      <font>
        <color rgb="FFB7B7B7"/>
      </font>
    </dxf>
    <dxf>
      <font>
        <color rgb="FF006100"/>
      </font>
      <fill>
        <patternFill>
          <bgColor rgb="FFC6E0B4"/>
        </patternFill>
      </fill>
    </dxf>
    <dxf>
      <font>
        <color rgb="FFB7B7B7"/>
      </font>
    </dxf>
    <dxf>
      <font>
        <color rgb="FF006100"/>
      </font>
      <fill>
        <patternFill>
          <bgColor rgb="FFC6E0B4"/>
        </patternFill>
      </fill>
    </dxf>
    <dxf>
      <font>
        <color rgb="FFB7B7B7"/>
      </font>
    </dxf>
    <dxf>
      <fill>
        <patternFill patternType="solid">
          <fgColor rgb="FFB7B7B7"/>
          <bgColor rgb="FF000000"/>
        </patternFill>
      </fill>
    </dxf>
    <dxf>
      <font>
        <color rgb="FF006100"/>
      </font>
      <fill>
        <patternFill>
          <bgColor rgb="FFC6E0B4"/>
        </patternFill>
      </fill>
    </dxf>
    <dxf>
      <font>
        <color rgb="FFB7B7B7"/>
      </font>
    </dxf>
    <dxf>
      <fill>
        <patternFill>
          <bgColor rgb="FFC6E0B4"/>
        </patternFill>
      </fill>
    </dxf>
    <dxf>
      <font>
        <color rgb="FF006100"/>
      </font>
      <fill>
        <patternFill>
          <bgColor rgb="FFC6E0B4"/>
        </patternFill>
      </fill>
    </dxf>
    <dxf>
      <font>
        <color rgb="FFB7B7B7"/>
      </font>
    </dxf>
    <dxf>
      <fill>
        <patternFill>
          <bgColor rgb="FFC6E0B4"/>
        </patternFill>
      </fill>
    </dxf>
    <dxf>
      <fill>
        <patternFill>
          <bgColor rgb="FFC6E0B4"/>
        </patternFill>
      </fill>
    </dxf>
    <dxf>
      <font>
        <color rgb="FF006100"/>
      </font>
      <fill>
        <patternFill>
          <bgColor rgb="FFC6E0B4"/>
        </patternFill>
      </fill>
    </dxf>
    <dxf>
      <font>
        <color rgb="FF006100"/>
      </font>
      <fill>
        <patternFill>
          <bgColor rgb="FFC6E0B4"/>
        </patternFill>
      </fill>
    </dxf>
    <dxf>
      <font>
        <color rgb="FF006100"/>
      </font>
      <fill>
        <patternFill>
          <bgColor rgb="FFC6E0B4"/>
        </patternFill>
      </fill>
    </dxf>
  </dxfs>
  <colors>
    <indexedColors>
      <rgbColor rgb="FF000000"/>
      <rgbColor rgb="FFFFFFFF"/>
      <rgbColor rgb="FFC00000"/>
      <rgbColor rgb="FF00FF00"/>
      <rgbColor rgb="FF0000FF"/>
      <rgbColor rgb="FFD9EAD3"/>
      <rgbColor rgb="FFFF00FF"/>
      <rgbColor rgb="FF00FFFF"/>
      <rgbColor rgb="FF9C0006"/>
      <rgbColor rgb="FF137333"/>
      <rgbColor rgb="FF000080"/>
      <rgbColor rgb="FF7F6000"/>
      <rgbColor rgb="FF800080"/>
      <rgbColor rgb="FF156082"/>
      <rgbColor rgb="FFB7B7B7"/>
      <rgbColor rgb="FF8B8B8B"/>
      <rgbColor rgb="FF5B9BD5"/>
      <rgbColor rgb="FF993366"/>
      <rgbColor rgb="FFFFF2CC"/>
      <rgbColor rgb="FFD9EAF7"/>
      <rgbColor rgb="FF660066"/>
      <rgbColor rgb="FFFF8080"/>
      <rgbColor rgb="FF0066CC"/>
      <rgbColor rgb="FFCCCCCC"/>
      <rgbColor rgb="FF000080"/>
      <rgbColor rgb="FFFF00FF"/>
      <rgbColor rgb="FFFCE8E6"/>
      <rgbColor rgb="FF00FFFF"/>
      <rgbColor rgb="FF800080"/>
      <rgbColor rgb="FF800000"/>
      <rgbColor rgb="FF008080"/>
      <rgbColor rgb="FF0000FF"/>
      <rgbColor rgb="FF00CCFF"/>
      <rgbColor rgb="FFE6F4EA"/>
      <rgbColor rgb="FFE2F0D9"/>
      <rgbColor rgb="FFFCE5CD"/>
      <rgbColor rgb="FF99CCFF"/>
      <rgbColor rgb="FFD9D9D9"/>
      <rgbColor rgb="FFB3B3B3"/>
      <rgbColor rgb="FFF4CCCC"/>
      <rgbColor rgb="FF3366FF"/>
      <rgbColor rgb="FF33CCCC"/>
      <rgbColor rgb="FFC6E0B4"/>
      <rgbColor rgb="FFEAF2F8"/>
      <rgbColor rgb="FFFF9900"/>
      <rgbColor rgb="FFC65911"/>
      <rgbColor rgb="FF666666"/>
      <rgbColor rgb="FFA6A6A6"/>
      <rgbColor rgb="FF17365D"/>
      <rgbColor rgb="FF339966"/>
      <rgbColor rgb="FF006100"/>
      <rgbColor rgb="FF333300"/>
      <rgbColor rgb="FFB91C1C"/>
      <rgbColor rgb="FF993366"/>
      <rgbColor rgb="FF1F4E78"/>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worksheet" Target="worksheets/sheet22.xml"/><Relationship Id="rId25" Type="http://schemas.openxmlformats.org/officeDocument/2006/relationships/worksheet" Target="worksheets/sheet23.xml"/><Relationship Id="rId26" Type="http://schemas.openxmlformats.org/officeDocument/2006/relationships/worksheet" Target="worksheets/sheet24.xml"/><Relationship Id="rId27" Type="http://schemas.openxmlformats.org/officeDocument/2006/relationships/worksheet" Target="worksheets/sheet25.xml"/><Relationship Id="rId28" Type="http://schemas.openxmlformats.org/officeDocument/2006/relationships/worksheet" Target="worksheets/sheet26.xml"/><Relationship Id="rId29" Type="http://schemas.openxmlformats.org/officeDocument/2006/relationships/worksheet" Target="worksheets/sheet27.xml"/><Relationship Id="rId30" Type="http://schemas.openxmlformats.org/officeDocument/2006/relationships/worksheet" Target="worksheets/sheet28.xml"/><Relationship Id="rId31" Type="http://schemas.openxmlformats.org/officeDocument/2006/relationships/worksheet" Target="worksheets/sheet29.xml"/><Relationship Id="rId32" Type="http://schemas.openxmlformats.org/officeDocument/2006/relationships/worksheet" Target="worksheets/sheet30.xml"/><Relationship Id="rId33" Type="http://schemas.openxmlformats.org/officeDocument/2006/relationships/worksheet" Target="worksheets/sheet31.xml"/><Relationship Id="rId34" Type="http://schemas.openxmlformats.org/officeDocument/2006/relationships/worksheet" Target="worksheets/sheet32.xml"/><Relationship Id="rId35" Type="http://schemas.openxmlformats.org/officeDocument/2006/relationships/worksheet" Target="worksheets/sheet33.xml"/><Relationship Id="rId36" Type="http://schemas.openxmlformats.org/officeDocument/2006/relationships/worksheet" Target="worksheets/sheet34.xml"/><Relationship Id="rId37" Type="http://schemas.openxmlformats.org/officeDocument/2006/relationships/worksheet" Target="worksheets/sheet35.xml"/><Relationship Id="rId38" Type="http://schemas.openxmlformats.org/officeDocument/2006/relationships/worksheet" Target="worksheets/sheet36.xml"/><Relationship Id="rId39" Type="http://schemas.openxmlformats.org/officeDocument/2006/relationships/worksheet" Target="worksheets/sheet37.xml"/><Relationship Id="rId40"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_rels/chart3.xml.rels><?xml version="1.0" encoding="UTF-8"?>
<Relationships xmlns="http://schemas.openxmlformats.org/package/2006/relationships"><Relationship Id="rId1" Type="http://schemas.microsoft.com/office/2011/relationships/chartStyle" Target="style3.xml"/><Relationship Id="rId2" Type="http://schemas.microsoft.com/office/2011/relationships/chartColorStyle" Target="colors3.xml"/>
</Relationships>
</file>

<file path=xl/charts/_rels/chart4.xml.rels><?xml version="1.0" encoding="UTF-8"?>
<Relationships xmlns="http://schemas.openxmlformats.org/package/2006/relationships"><Relationship Id="rId1" Type="http://schemas.microsoft.com/office/2011/relationships/chartStyle" Target="style4.xml"/><Relationship Id="rId2" Type="http://schemas.microsoft.com/office/2011/relationships/chartColorStyle" Target="colors4.xml"/>
</Relationships>
</file>

<file path=xl/charts/_rels/chart5.xml.rels><?xml version="1.0" encoding="UTF-8"?>
<Relationships xmlns="http://schemas.openxmlformats.org/package/2006/relationships"><Relationship Id="rId1" Type="http://schemas.microsoft.com/office/2011/relationships/chartStyle" Target="style5.xml"/><Relationship Id="rId2" Type="http://schemas.microsoft.com/office/2011/relationships/chartColorStyle" Target="colors5.xml"/>
</Relationships>
</file>

<file path=xl/charts/_rels/chart6.xml.rels><?xml version="1.0" encoding="UTF-8"?>
<Relationships xmlns="http://schemas.openxmlformats.org/package/2006/relationships"><Relationship Id="rId1" Type="http://schemas.microsoft.com/office/2011/relationships/chartStyle" Target="style6.xml"/><Relationship Id="rId2" Type="http://schemas.microsoft.com/office/2011/relationships/chartColorStyle" Target="colors6.xml"/>
</Relationships>
</file>

<file path=xl/charts/_rels/chart7.xml.rels><?xml version="1.0" encoding="UTF-8"?>
<Relationships xmlns="http://schemas.openxmlformats.org/package/2006/relationships"><Relationship Id="rId1" Type="http://schemas.microsoft.com/office/2011/relationships/chartStyle" Target="style7.xml"/><Relationship Id="rId2" Type="http://schemas.microsoft.com/office/2011/relationships/chartColorStyle" Target="colors7.xml"/>
</Relationships>
</file>

<file path=xl/charts/_rels/chart8.xml.rels><?xml version="1.0" encoding="UTF-8"?>
<Relationships xmlns="http://schemas.openxmlformats.org/package/2006/relationships"><Relationship Id="rId1" Type="http://schemas.microsoft.com/office/2011/relationships/chartStyle" Target="style8.xml"/><Relationship Id="rId2" Type="http://schemas.microsoft.com/office/2011/relationships/chartColorStyle" Target="colors8.xml"/>
</Relationships>
</file>

<file path=xl/charts/_rels/chart9.xml.rels><?xml version="1.0" encoding="UTF-8"?>
<Relationships xmlns="http://schemas.openxmlformats.org/package/2006/relationships"><Relationship Id="rId1" Type="http://schemas.microsoft.com/office/2011/relationships/chartStyle" Target="style9.xml"/><Relationship Id="rId2" Type="http://schemas.microsoft.com/office/2011/relationships/chartColorStyle" Target="colors9.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Papers by Research Category</a:t>
            </a:r>
          </a:p>
        </c:rich>
      </c:tx>
      <c:overlay val="0"/>
      <c:spPr>
        <a:noFill/>
        <a:ln w="0">
          <a:noFill/>
        </a:ln>
      </c:spPr>
    </c:title>
    <c:autoTitleDeleted val="0"/>
    <c:plotArea>
      <c:barChart>
        <c:barDir val="col"/>
        <c:grouping val="clustered"/>
        <c:varyColors val="0"/>
        <c:ser>
          <c:idx val="0"/>
          <c:order val="0"/>
          <c:tx>
            <c:strRef>
              <c:f>"Count"</c:f>
              <c:strCache>
                <c:ptCount val="1"/>
                <c:pt idx="0">
                  <c:v>Count</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Dashboard!$A$12:$A$19</c:f>
              <c:strCache>
                <c:ptCount val="8"/>
                <c:pt idx="0">
                  <c:v>PHY</c:v>
                </c:pt>
                <c:pt idx="1">
                  <c:v>Routing/Mesh</c:v>
                </c:pt>
                <c:pt idx="2">
                  <c:v>MAC</c:v>
                </c:pt>
                <c:pt idx="3">
                  <c:v>Modeling/Analytical</c:v>
                </c:pt>
                <c:pt idx="4">
                  <c:v>Industrial/Testbed/Application</c:v>
                </c:pt>
                <c:pt idx="5">
                  <c:v>Positioning/Localization</c:v>
                </c:pt>
                <c:pt idx="6">
                  <c:v>Security/Multi-RAT</c:v>
                </c:pt>
                <c:pt idx="7">
                  <c:v>Scheduling/Resource Allocation</c:v>
                </c:pt>
              </c:strCache>
            </c:strRef>
          </c:cat>
          <c:val>
            <c:numRef>
              <c:f>Dashboard!$B$12:$B$19</c:f>
              <c:numCache>
                <c:formatCode>General</c:formatCode>
                <c:ptCount val="8"/>
                <c:pt idx="0">
                  <c:v>58</c:v>
                </c:pt>
                <c:pt idx="1">
                  <c:v>58</c:v>
                </c:pt>
                <c:pt idx="2">
                  <c:v>56</c:v>
                </c:pt>
                <c:pt idx="3">
                  <c:v>42</c:v>
                </c:pt>
                <c:pt idx="4">
                  <c:v>42</c:v>
                </c:pt>
                <c:pt idx="5">
                  <c:v>28</c:v>
                </c:pt>
                <c:pt idx="6">
                  <c:v>13</c:v>
                </c:pt>
                <c:pt idx="7">
                  <c:v>9</c:v>
                </c:pt>
              </c:numCache>
            </c:numRef>
          </c:val>
        </c:ser>
        <c:gapWidth val="150"/>
        <c:overlap val="0"/>
        <c:axId val="67890126"/>
        <c:axId val="54772106"/>
      </c:barChart>
      <c:catAx>
        <c:axId val="6789012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54772106"/>
        <c:crosses val="autoZero"/>
        <c:auto val="1"/>
        <c:lblAlgn val="ctr"/>
        <c:lblOffset val="100"/>
        <c:noMultiLvlLbl val="0"/>
      </c:catAx>
      <c:valAx>
        <c:axId val="54772106"/>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12600">
            <a:solidFill>
              <a:srgbClr val="8B8B8B"/>
            </a:solidFill>
            <a:round/>
          </a:ln>
        </c:spPr>
        <c:txPr>
          <a:bodyPr/>
          <a:lstStyle/>
          <a:p>
            <a:pPr>
              <a:defRPr sz="1000" b="0" u="none" strike="noStrike">
                <a:solidFill>
                  <a:srgbClr val="000000"/>
                </a:solidFill>
                <a:uFillTx/>
                <a:latin typeface="Calibri"/>
                <a:ea typeface="Calibri"/>
              </a:defRPr>
            </a:pPr>
          </a:p>
        </c:txPr>
        <c:crossAx val="67890126"/>
        <c:crosses val="autoZero"/>
        <c:crossBetween val="between"/>
      </c:valAx>
      <c:spPr>
        <a:noFill/>
        <a:ln w="0">
          <a:noFill/>
        </a:ln>
      </c:spPr>
    </c:plotArea>
    <c:legend>
      <c:legendPos val="b"/>
      <c:overlay val="0"/>
      <c:spPr>
        <a:noFill/>
        <a:ln w="0">
          <a:noFill/>
        </a:ln>
      </c:spPr>
      <c:txPr>
        <a:bodyPr/>
        <a:lstStyle/>
        <a:p>
          <a:pPr>
            <a:defRPr sz="1000" b="0" u="none" strike="noStrike">
              <a:solidFill>
                <a:srgbClr val="000000"/>
              </a:solidFill>
              <a:uFillTx/>
              <a:latin typeface="Calibri"/>
              <a:ea typeface="Calibri"/>
            </a:defRPr>
          </a:pPr>
        </a:p>
      </c:txPr>
    </c:legend>
    <c:plotVisOnly val="1"/>
    <c:dispBlanksAs val="zero"/>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1. Included publications by year</a:t>
            </a:r>
          </a:p>
        </c:rich>
      </c:tx>
      <c:overlay val="0"/>
      <c:spPr>
        <a:noFill/>
        <a:ln w="0">
          <a:noFill/>
        </a:ln>
      </c:spPr>
    </c:title>
    <c:autoTitleDeleted val="0"/>
    <c:plotArea>
      <c:lineChart>
        <c:grouping val="standard"/>
        <c:varyColors val="0"/>
        <c:ser>
          <c:idx val="0"/>
          <c:order val="0"/>
          <c:tx>
            <c:strRef>
              <c:f>"Included studies"</c:f>
              <c:strCache>
                <c:ptCount val="1"/>
                <c:pt idx="0">
                  <c:v>Included studies</c:v>
                </c:pt>
              </c:strCache>
            </c:strRef>
          </c:tx>
          <c:spPr>
            <a:solidFill>
              <a:srgbClr val="99CCFF"/>
            </a:solidFill>
            <a:ln w="0">
              <a:solidFill>
                <a:srgbClr val="99CCFF"/>
              </a:solidFill>
            </a:ln>
          </c:spPr>
          <c:dLbls>
            <c:txPr>
              <a:bodyPr wrap="square"/>
              <a:lstStyle/>
              <a:p>
                <a:pPr>
                  <a:defRPr sz="1000" b="0" u="none" strike="noStrike">
                    <a:solidFill>
                      <a:srgbClr val="000000"/>
                    </a:solidFill>
                    <a:uFillTx/>
                    <a:latin typeface="Calibri"/>
                    <a:ea typeface="Calibri"/>
                  </a:defRPr>
                </a:pPr>
              </a:p>
            </c:txPr>
            <c:dLblPos val="r"/>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Results_Data_V5!$D$2:$D$8</c:f>
              <c:strCache>
                <c:ptCount val="7"/>
                <c:pt idx="0">
                  <c:v>2020</c:v>
                </c:pt>
                <c:pt idx="1">
                  <c:v>2021</c:v>
                </c:pt>
                <c:pt idx="2">
                  <c:v>2022</c:v>
                </c:pt>
                <c:pt idx="3">
                  <c:v>2023</c:v>
                </c:pt>
                <c:pt idx="4">
                  <c:v>2024</c:v>
                </c:pt>
                <c:pt idx="5">
                  <c:v>2025</c:v>
                </c:pt>
                <c:pt idx="6">
                  <c:v>2026</c:v>
                </c:pt>
              </c:strCache>
            </c:strRef>
          </c:cat>
          <c:val>
            <c:numRef>
              <c:f>Results_Data_V5!$E$2:$E$8</c:f>
              <c:numCache>
                <c:formatCode>General</c:formatCode>
                <c:ptCount val="7"/>
                <c:pt idx="0">
                  <c:v>1</c:v>
                </c:pt>
                <c:pt idx="1">
                  <c:v>4</c:v>
                </c:pt>
                <c:pt idx="2">
                  <c:v>5</c:v>
                </c:pt>
                <c:pt idx="3">
                  <c:v>3</c:v>
                </c:pt>
                <c:pt idx="4">
                  <c:v>13</c:v>
                </c:pt>
                <c:pt idx="5">
                  <c:v>16</c:v>
                </c:pt>
                <c:pt idx="6">
                  <c:v>9</c:v>
                </c:pt>
              </c:numCache>
            </c:numRef>
          </c:val>
          <c:smooth val="0"/>
        </c:ser>
        <c:hiLowLines>
          <c:spPr>
            <a:ln w="0">
              <a:noFill/>
            </a:ln>
          </c:spPr>
        </c:hiLowLines>
        <c:marker val="1"/>
        <c:axId val="94737448"/>
        <c:axId val="25736677"/>
      </c:lineChart>
      <c:catAx>
        <c:axId val="9473744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25736677"/>
        <c:crossesAt val="0"/>
        <c:auto val="1"/>
        <c:lblAlgn val="ctr"/>
        <c:lblOffset val="100"/>
        <c:noMultiLvlLbl val="0"/>
      </c:catAx>
      <c:valAx>
        <c:axId val="2573667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4737448"/>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2. Publication types</a:t>
            </a:r>
          </a:p>
        </c:rich>
      </c:tx>
      <c:layout>
        <c:manualLayout>
          <c:xMode val="edge"/>
          <c:yMode val="edge"/>
          <c:x val="0.350627793147478"/>
          <c:y val="0.00212044105173876"/>
        </c:manualLayout>
      </c:layout>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Results_Data_V5!$G$2:$G$5</c:f>
              <c:strCache>
                <c:ptCount val="4"/>
                <c:pt idx="0">
                  <c:v>Conference Paper</c:v>
                </c:pt>
                <c:pt idx="1">
                  <c:v>Journal Article</c:v>
                </c:pt>
                <c:pt idx="2">
                  <c:v>Survey/Overview</c:v>
                </c:pt>
                <c:pt idx="3">
                  <c:v>Thesis</c:v>
                </c:pt>
              </c:strCache>
            </c:strRef>
          </c:cat>
          <c:val>
            <c:numRef>
              <c:f>Results_Data_V5!$H$2:$H$5</c:f>
              <c:numCache>
                <c:formatCode>General</c:formatCode>
                <c:ptCount val="4"/>
                <c:pt idx="0">
                  <c:v>36</c:v>
                </c:pt>
                <c:pt idx="1">
                  <c:v>5</c:v>
                </c:pt>
                <c:pt idx="2">
                  <c:v>7</c:v>
                </c:pt>
                <c:pt idx="3">
                  <c:v>3</c:v>
                </c:pt>
              </c:numCache>
            </c:numRef>
          </c:val>
        </c:ser>
        <c:gapWidth val="150"/>
        <c:overlap val="0"/>
        <c:axId val="5666896"/>
        <c:axId val="9074357"/>
      </c:barChart>
      <c:catAx>
        <c:axId val="5666896"/>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074357"/>
        <c:crossesAt val="0"/>
        <c:auto val="1"/>
        <c:lblAlgn val="ctr"/>
        <c:lblOffset val="100"/>
        <c:noMultiLvlLbl val="0"/>
      </c:catAx>
      <c:valAx>
        <c:axId val="907435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5666896"/>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3. Primary research contribution</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Results_Data_V5!$J$13:$J$21</c:f>
              <c:strCache>
                <c:ptCount val="9"/>
                <c:pt idx="0">
                  <c:v>PHY</c:v>
                </c:pt>
                <c:pt idx="1">
                  <c:v>MAC</c:v>
                </c:pt>
                <c:pt idx="2">
                  <c:v>Routing/Mesh</c:v>
                </c:pt>
                <c:pt idx="3">
                  <c:v>Scheduling/Resources</c:v>
                </c:pt>
                <c:pt idx="4">
                  <c:v>Positioning</c:v>
                </c:pt>
                <c:pt idx="5">
                  <c:v>Security/Multi-RAT</c:v>
                </c:pt>
                <c:pt idx="6">
                  <c:v>Industrial/App.</c:v>
                </c:pt>
                <c:pt idx="7">
                  <c:v>Modeling/Analytical</c:v>
                </c:pt>
                <c:pt idx="8">
                  <c:v>Standardization</c:v>
                </c:pt>
              </c:strCache>
            </c:strRef>
          </c:cat>
          <c:val>
            <c:numRef>
              <c:f>Results_Data_V5!$K$13:$K$21</c:f>
              <c:numCache>
                <c:formatCode>General</c:formatCode>
                <c:ptCount val="9"/>
                <c:pt idx="0">
                  <c:v>12</c:v>
                </c:pt>
                <c:pt idx="1">
                  <c:v>6</c:v>
                </c:pt>
                <c:pt idx="2">
                  <c:v>6</c:v>
                </c:pt>
                <c:pt idx="3">
                  <c:v>1</c:v>
                </c:pt>
                <c:pt idx="4">
                  <c:v>2</c:v>
                </c:pt>
                <c:pt idx="5">
                  <c:v>2</c:v>
                </c:pt>
                <c:pt idx="6">
                  <c:v>14</c:v>
                </c:pt>
                <c:pt idx="7">
                  <c:v>3</c:v>
                </c:pt>
                <c:pt idx="8">
                  <c:v>5</c:v>
                </c:pt>
              </c:numCache>
            </c:numRef>
          </c:val>
        </c:ser>
        <c:gapWidth val="150"/>
        <c:overlap val="0"/>
        <c:axId val="90257418"/>
        <c:axId val="2211548"/>
      </c:barChart>
      <c:catAx>
        <c:axId val="9025741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2211548"/>
        <c:crossesAt val="0"/>
        <c:auto val="1"/>
        <c:lblAlgn val="ctr"/>
        <c:lblOffset val="100"/>
        <c:noMultiLvlLbl val="0"/>
      </c:catAx>
      <c:valAx>
        <c:axId val="221154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0257418"/>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4. Technical topic coverage (multi-label)</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Results_Data_V5!$A$13:$A$28</c:f>
              <c:strCache>
                <c:ptCount val="16"/>
                <c:pt idx="0">
                  <c:v>PHY</c:v>
                </c:pt>
                <c:pt idx="1">
                  <c:v>MAC</c:v>
                </c:pt>
                <c:pt idx="2">
                  <c:v>Routing/Mesh</c:v>
                </c:pt>
                <c:pt idx="3">
                  <c:v>Scheduling/Resources</c:v>
                </c:pt>
                <c:pt idx="4">
                  <c:v>Positioning</c:v>
                </c:pt>
                <c:pt idx="5">
                  <c:v>Security/Multi-RAT</c:v>
                </c:pt>
                <c:pt idx="6">
                  <c:v>Energy</c:v>
                </c:pt>
                <c:pt idx="7">
                  <c:v>Coexistence</c:v>
                </c:pt>
                <c:pt idx="8">
                  <c:v>AI/ML</c:v>
                </c:pt>
                <c:pt idx="9">
                  <c:v>Standardization</c:v>
                </c:pt>
                <c:pt idx="10">
                  <c:v>Experimental/App.</c:v>
                </c:pt>
                <c:pt idx="11">
                  <c:v>URLLC</c:v>
                </c:pt>
                <c:pt idx="12">
                  <c:v>mMTC</c:v>
                </c:pt>
                <c:pt idx="13">
                  <c:v>Professional Audio</c:v>
                </c:pt>
                <c:pt idx="14">
                  <c:v>Backscatter</c:v>
                </c:pt>
                <c:pt idx="15">
                  <c:v>Queueing/AoI</c:v>
                </c:pt>
              </c:strCache>
            </c:strRef>
          </c:cat>
          <c:val>
            <c:numRef>
              <c:f>Results_Data_V5!$B$13:$B$28</c:f>
              <c:numCache>
                <c:formatCode>General</c:formatCode>
                <c:ptCount val="16"/>
                <c:pt idx="0">
                  <c:v>22</c:v>
                </c:pt>
                <c:pt idx="1">
                  <c:v>22</c:v>
                </c:pt>
                <c:pt idx="2">
                  <c:v>23</c:v>
                </c:pt>
                <c:pt idx="3">
                  <c:v>4</c:v>
                </c:pt>
                <c:pt idx="4">
                  <c:v>6</c:v>
                </c:pt>
                <c:pt idx="5">
                  <c:v>3</c:v>
                </c:pt>
                <c:pt idx="6">
                  <c:v>8</c:v>
                </c:pt>
                <c:pt idx="7">
                  <c:v>2</c:v>
                </c:pt>
                <c:pt idx="8">
                  <c:v>2</c:v>
                </c:pt>
                <c:pt idx="9">
                  <c:v>13</c:v>
                </c:pt>
                <c:pt idx="10">
                  <c:v>18</c:v>
                </c:pt>
                <c:pt idx="11">
                  <c:v>9</c:v>
                </c:pt>
                <c:pt idx="12">
                  <c:v>5</c:v>
                </c:pt>
                <c:pt idx="13">
                  <c:v>3</c:v>
                </c:pt>
                <c:pt idx="14">
                  <c:v>1</c:v>
                </c:pt>
                <c:pt idx="15">
                  <c:v>2</c:v>
                </c:pt>
              </c:numCache>
            </c:numRef>
          </c:val>
        </c:ser>
        <c:gapWidth val="150"/>
        <c:overlap val="0"/>
        <c:axId val="92068891"/>
        <c:axId val="54466945"/>
      </c:barChart>
      <c:catAx>
        <c:axId val="92068891"/>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54466945"/>
        <c:crossesAt val="0"/>
        <c:auto val="1"/>
        <c:lblAlgn val="ctr"/>
        <c:lblOffset val="100"/>
        <c:noMultiLvlLbl val="0"/>
      </c:catAx>
      <c:valAx>
        <c:axId val="54466945"/>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2068891"/>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6.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Results_Data_V5!$J$2:$J$5</c:f>
              <c:strCache>
                <c:ptCount val="4"/>
                <c:pt idx="0">
                  <c:v>Simulation</c:v>
                </c:pt>
                <c:pt idx="1">
                  <c:v>Analytical/Modeling</c:v>
                </c:pt>
                <c:pt idx="2">
                  <c:v>Experimental/Testbed</c:v>
                </c:pt>
                <c:pt idx="3">
                  <c:v>Survey/Overview</c:v>
                </c:pt>
              </c:strCache>
            </c:strRef>
          </c:cat>
          <c:val>
            <c:numRef>
              <c:f>Results_Data_V5!$K$2:$K$5</c:f>
              <c:numCache>
                <c:formatCode>General</c:formatCode>
                <c:ptCount val="4"/>
                <c:pt idx="0">
                  <c:v>32</c:v>
                </c:pt>
                <c:pt idx="1">
                  <c:v>23</c:v>
                </c:pt>
                <c:pt idx="2">
                  <c:v>16</c:v>
                </c:pt>
                <c:pt idx="3">
                  <c:v>9</c:v>
                </c:pt>
              </c:numCache>
            </c:numRef>
          </c:val>
        </c:ser>
        <c:gapWidth val="150"/>
        <c:overlap val="0"/>
        <c:axId val="96109573"/>
        <c:axId val="93551473"/>
      </c:barChart>
      <c:catAx>
        <c:axId val="96109573"/>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3551473"/>
        <c:crossesAt val="0"/>
        <c:auto val="1"/>
        <c:lblAlgn val="ctr"/>
        <c:lblOffset val="100"/>
        <c:noMultiLvlLbl val="0"/>
      </c:catAx>
      <c:valAx>
        <c:axId val="93551473"/>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96109573"/>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7.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6. Detailed validation approaches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Results_Data_V5!$M$2:$M$10</c:f>
              <c:strCache>
                <c:ptCount val="9"/>
                <c:pt idx="0">
                  <c:v>Link-Level Sim.</c:v>
                </c:pt>
                <c:pt idx="1">
                  <c:v>System-Level Sim.</c:v>
                </c:pt>
                <c:pt idx="2">
                  <c:v>Event-Based Sim.</c:v>
                </c:pt>
                <c:pt idx="3">
                  <c:v>Numerical Sim.</c:v>
                </c:pt>
                <c:pt idx="4">
                  <c:v>SDR/OTA</c:v>
                </c:pt>
                <c:pt idx="5">
                  <c:v>Hardware Prototype</c:v>
                </c:pt>
                <c:pt idx="6">
                  <c:v>Commercial Device</c:v>
                </c:pt>
                <c:pt idx="7">
                  <c:v>Field Trial</c:v>
                </c:pt>
                <c:pt idx="8">
                  <c:v>Industrial Measure.</c:v>
                </c:pt>
              </c:strCache>
            </c:strRef>
          </c:cat>
          <c:val>
            <c:numRef>
              <c:f>Results_Data_V5!$N$2:$N$10</c:f>
              <c:numCache>
                <c:formatCode>General</c:formatCode>
                <c:ptCount val="9"/>
                <c:pt idx="0">
                  <c:v>6</c:v>
                </c:pt>
                <c:pt idx="1">
                  <c:v>10</c:v>
                </c:pt>
                <c:pt idx="2">
                  <c:v>2</c:v>
                </c:pt>
                <c:pt idx="3">
                  <c:v>10</c:v>
                </c:pt>
                <c:pt idx="4">
                  <c:v>3</c:v>
                </c:pt>
                <c:pt idx="5">
                  <c:v>16</c:v>
                </c:pt>
                <c:pt idx="6">
                  <c:v>11</c:v>
                </c:pt>
                <c:pt idx="7">
                  <c:v>5</c:v>
                </c:pt>
                <c:pt idx="8">
                  <c:v>3</c:v>
                </c:pt>
              </c:numCache>
            </c:numRef>
          </c:val>
        </c:ser>
        <c:gapWidth val="150"/>
        <c:overlap val="0"/>
        <c:axId val="16741062"/>
        <c:axId val="41488040"/>
      </c:barChart>
      <c:catAx>
        <c:axId val="16741062"/>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41488040"/>
        <c:crossesAt val="0"/>
        <c:auto val="1"/>
        <c:lblAlgn val="ctr"/>
        <c:lblOffset val="100"/>
        <c:noMultiLvlLbl val="0"/>
      </c:catAx>
      <c:valAx>
        <c:axId val="41488040"/>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16741062"/>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8.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7. Performance metrics reported</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Results_Data_V5!$D$13:$D$30</c:f>
              <c:strCache>
                <c:ptCount val="18"/>
                <c:pt idx="0">
                  <c:v>Latency</c:v>
                </c:pt>
                <c:pt idx="1">
                  <c:v>RTT</c:v>
                </c:pt>
                <c:pt idx="2">
                  <c:v>Throughput</c:v>
                </c:pt>
                <c:pt idx="3">
                  <c:v>PDR</c:v>
                </c:pt>
                <c:pt idx="4">
                  <c:v>PER/Packet Loss</c:v>
                </c:pt>
                <c:pt idx="5">
                  <c:v>BER</c:v>
                </c:pt>
                <c:pt idx="6">
                  <c:v>Reliability/Outage</c:v>
                </c:pt>
                <c:pt idx="7">
                  <c:v>Coverage/Range</c:v>
                </c:pt>
                <c:pt idx="8">
                  <c:v>RSSI</c:v>
                </c:pt>
                <c:pt idx="9">
                  <c:v>SNR/SINR</c:v>
                </c:pt>
                <c:pt idx="10">
                  <c:v>Energy/Power</c:v>
                </c:pt>
                <c:pt idx="11">
                  <c:v>AoI</c:v>
                </c:pt>
                <c:pt idx="12">
                  <c:v>Localization Error</c:v>
                </c:pt>
                <c:pt idx="13">
                  <c:v>Connection Density</c:v>
                </c:pt>
                <c:pt idx="14">
                  <c:v>Spectral Efficiency</c:v>
                </c:pt>
                <c:pt idx="15">
                  <c:v>Delay Spread</c:v>
                </c:pt>
                <c:pt idx="16">
                  <c:v>Fairness</c:v>
                </c:pt>
                <c:pt idx="17">
                  <c:v>Resource Use</c:v>
                </c:pt>
              </c:strCache>
            </c:strRef>
          </c:cat>
          <c:val>
            <c:numRef>
              <c:f>Results_Data_V5!$E$13:$E$30</c:f>
              <c:numCache>
                <c:formatCode>General</c:formatCode>
                <c:ptCount val="18"/>
                <c:pt idx="0">
                  <c:v>15</c:v>
                </c:pt>
                <c:pt idx="1">
                  <c:v>0</c:v>
                </c:pt>
                <c:pt idx="2">
                  <c:v>5</c:v>
                </c:pt>
                <c:pt idx="3">
                  <c:v>1</c:v>
                </c:pt>
                <c:pt idx="4">
                  <c:v>40</c:v>
                </c:pt>
                <c:pt idx="5">
                  <c:v>11</c:v>
                </c:pt>
                <c:pt idx="6">
                  <c:v>15</c:v>
                </c:pt>
                <c:pt idx="7">
                  <c:v>7</c:v>
                </c:pt>
                <c:pt idx="8">
                  <c:v>2</c:v>
                </c:pt>
                <c:pt idx="9">
                  <c:v>2</c:v>
                </c:pt>
                <c:pt idx="10">
                  <c:v>22</c:v>
                </c:pt>
                <c:pt idx="11">
                  <c:v>1</c:v>
                </c:pt>
                <c:pt idx="12">
                  <c:v>1</c:v>
                </c:pt>
                <c:pt idx="13">
                  <c:v>1</c:v>
                </c:pt>
                <c:pt idx="14">
                  <c:v>1</c:v>
                </c:pt>
                <c:pt idx="15">
                  <c:v>0</c:v>
                </c:pt>
                <c:pt idx="16">
                  <c:v>2</c:v>
                </c:pt>
                <c:pt idx="17">
                  <c:v>0</c:v>
                </c:pt>
              </c:numCache>
            </c:numRef>
          </c:val>
        </c:ser>
        <c:gapWidth val="150"/>
        <c:overlap val="0"/>
        <c:axId val="39987934"/>
        <c:axId val="70572587"/>
      </c:barChart>
      <c:catAx>
        <c:axId val="39987934"/>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70572587"/>
        <c:crossesAt val="0"/>
        <c:auto val="1"/>
        <c:lblAlgn val="ctr"/>
        <c:lblOffset val="100"/>
        <c:noMultiLvlLbl val="0"/>
      </c:catAx>
      <c:valAx>
        <c:axId val="70572587"/>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39987934"/>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hart9.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ea typeface="Calibri"/>
              </a:rPr>
              <a:t>Figure 8. Experimental and software platforms</a:t>
            </a:r>
          </a:p>
        </c:rich>
      </c:tx>
      <c:overlay val="0"/>
      <c:spPr>
        <a:noFill/>
        <a:ln w="0">
          <a:noFill/>
        </a:ln>
      </c:spPr>
    </c:title>
    <c:autoTitleDeleted val="0"/>
    <c:plotArea>
      <c:barChart>
        <c:barDir val="col"/>
        <c:grouping val="clustered"/>
        <c:varyColors val="0"/>
        <c:ser>
          <c:idx val="0"/>
          <c:order val="0"/>
          <c:tx>
            <c:strRef>
              <c:f>"Included studies"</c:f>
              <c:strCache>
                <c:ptCount val="1"/>
                <c:pt idx="0">
                  <c:v>Included studies</c:v>
                </c:pt>
              </c:strCache>
            </c:strRef>
          </c:tx>
          <c:spPr>
            <a:solidFill>
              <a:srgbClr val="156082"/>
            </a:solidFill>
            <a:ln w="0">
              <a:noFill/>
            </a:ln>
          </c:spPr>
          <c:invertIfNegative val="0"/>
          <c:dLbls>
            <c:txPr>
              <a:bodyPr wrap="square"/>
              <a:lstStyle/>
              <a:p>
                <a:pPr>
                  <a:defRPr sz="1000" b="0" u="none" strike="noStrike">
                    <a:solidFill>
                      <a:srgbClr val="000000"/>
                    </a:solidFill>
                    <a:uFillTx/>
                    <a:latin typeface="Calibri"/>
                    <a:ea typeface="Calibri"/>
                  </a:defRPr>
                </a:pPr>
              </a:p>
            </c:txPr>
            <c:dLblPos val="outEnd"/>
            <c:showLegendKey val="0"/>
            <c:showVal val="0"/>
            <c:showCatName val="0"/>
            <c:showSerName val="0"/>
            <c:showPercent val="0"/>
            <c:separator>; </c:separator>
            <c:showLeaderLines val="0"/>
            <c:extLst>
              <c:ext xmlns:c15="http://schemas.microsoft.com/office/drawing/2012/chart" uri="{CE6537A1-D6FC-4f65-9D91-7224C49458BB}">
                <c15:showLeaderLines val="0"/>
              </c:ext>
            </c:extLst>
          </c:dLbls>
          <c:cat>
            <c:strRef>
              <c:f>Results_Data_V5!$G$13:$G$21</c:f>
              <c:strCache>
                <c:ptCount val="9"/>
                <c:pt idx="0">
                  <c:v>MATLAB</c:v>
                </c:pt>
                <c:pt idx="1">
                  <c:v>ns-3</c:v>
                </c:pt>
                <c:pt idx="2">
                  <c:v>GNU Radio</c:v>
                </c:pt>
                <c:pt idx="3">
                  <c:v>Python</c:v>
                </c:pt>
                <c:pt idx="4">
                  <c:v>Zephyr</c:v>
                </c:pt>
                <c:pt idx="5">
                  <c:v>FPGA</c:v>
                </c:pt>
                <c:pt idx="6">
                  <c:v>Nordic nRF91</c:v>
                </c:pt>
                <c:pt idx="7">
                  <c:v>USRP</c:v>
                </c:pt>
                <c:pt idx="8">
                  <c:v>Open Source</c:v>
                </c:pt>
              </c:strCache>
            </c:strRef>
          </c:cat>
          <c:val>
            <c:numRef>
              <c:f>Results_Data_V5!$H$13:$H$21</c:f>
              <c:numCache>
                <c:formatCode>General</c:formatCode>
                <c:ptCount val="9"/>
                <c:pt idx="0">
                  <c:v>2</c:v>
                </c:pt>
                <c:pt idx="1">
                  <c:v>0</c:v>
                </c:pt>
                <c:pt idx="2">
                  <c:v>1</c:v>
                </c:pt>
                <c:pt idx="3">
                  <c:v>0</c:v>
                </c:pt>
                <c:pt idx="4">
                  <c:v>1</c:v>
                </c:pt>
                <c:pt idx="5">
                  <c:v>1</c:v>
                </c:pt>
                <c:pt idx="6">
                  <c:v>5</c:v>
                </c:pt>
                <c:pt idx="7">
                  <c:v>1</c:v>
                </c:pt>
                <c:pt idx="8">
                  <c:v>1</c:v>
                </c:pt>
              </c:numCache>
            </c:numRef>
          </c:val>
        </c:ser>
        <c:gapWidth val="150"/>
        <c:overlap val="0"/>
        <c:axId val="23613838"/>
        <c:axId val="68684468"/>
      </c:barChart>
      <c:catAx>
        <c:axId val="23613838"/>
        <c:scaling>
          <c:orientation val="minMax"/>
        </c:scaling>
        <c:delete val="0"/>
        <c:axPos val="b"/>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68684468"/>
        <c:crossesAt val="0"/>
        <c:auto val="1"/>
        <c:lblAlgn val="ctr"/>
        <c:lblOffset val="100"/>
        <c:noMultiLvlLbl val="0"/>
      </c:catAx>
      <c:valAx>
        <c:axId val="68684468"/>
        <c:scaling>
          <c:orientation val="minMax"/>
        </c:scaling>
        <c:delete val="0"/>
        <c:axPos val="l"/>
        <c:majorGridlines>
          <c:spPr>
            <a:ln w="9360">
              <a:solidFill>
                <a:srgbClr val="CCCCCC"/>
              </a:solidFill>
              <a:prstDash val="dash"/>
              <a:round/>
            </a:ln>
          </c:spPr>
        </c:majorGridlines>
        <c:numFmt formatCode="General" sourceLinked="0"/>
        <c:majorTickMark val="none"/>
        <c:minorTickMark val="none"/>
        <c:tickLblPos val="nextTo"/>
        <c:spPr>
          <a:ln w="0">
            <a:solidFill>
              <a:srgbClr val="B3B3B3"/>
            </a:solidFill>
          </a:ln>
        </c:spPr>
        <c:txPr>
          <a:bodyPr/>
          <a:lstStyle/>
          <a:p>
            <a:pPr>
              <a:defRPr sz="1600" b="0" u="none" strike="noStrike">
                <a:solidFill>
                  <a:srgbClr val="000000"/>
                </a:solidFill>
                <a:uFillTx/>
                <a:latin typeface="Calibri"/>
                <a:ea typeface="Calibri"/>
              </a:defRPr>
            </a:pPr>
          </a:p>
        </c:txPr>
        <c:crossAx val="23613838"/>
        <c:crossesAt val="1"/>
        <c:crossBetween val="between"/>
      </c:valAx>
      <c:spPr>
        <a:noFill/>
        <a:ln w="0">
          <a:noFill/>
        </a:ln>
      </c:spPr>
    </c:plotArea>
    <c:plotVisOnly val="1"/>
    <c:dispBlanksAs val="zero"/>
  </c:chart>
  <c:spPr>
    <a:solidFill>
      <a:srgbClr val="FFFFFF"/>
    </a:solidFill>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cs:colorStyle>
</file>

<file path=xl/charts/colors2.xml><?xml version="1.0" encoding="utf-8"?>
<cs:colorStyle xmlns:cs="http://schemas.microsoft.com/office/drawing/2012/chartStyle" xmlns:a="http://schemas.openxmlformats.org/drawingml/2006/main" meth="cycle" id="10">
  <a:schemeClr val="accent1"/>
</cs:colorStyle>
</file>

<file path=xl/charts/colors3.xml><?xml version="1.0" encoding="utf-8"?>
<cs:colorStyle xmlns:cs="http://schemas.microsoft.com/office/drawing/2012/chartStyle" xmlns:a="http://schemas.openxmlformats.org/drawingml/2006/main" meth="cycle" id="10">
  <a:schemeClr val="accent1"/>
</cs:colorStyle>
</file>

<file path=xl/charts/colors4.xml><?xml version="1.0" encoding="utf-8"?>
<cs:colorStyle xmlns:cs="http://schemas.microsoft.com/office/drawing/2012/chartStyle" xmlns:a="http://schemas.openxmlformats.org/drawingml/2006/main" meth="cycle" id="10">
  <a:schemeClr val="accent1"/>
</cs:colorStyle>
</file>

<file path=xl/charts/colors5.xml><?xml version="1.0" encoding="utf-8"?>
<cs:colorStyle xmlns:cs="http://schemas.microsoft.com/office/drawing/2012/chartStyle" xmlns:a="http://schemas.openxmlformats.org/drawingml/2006/main" meth="cycle" id="10">
  <a:schemeClr val="accent1"/>
</cs:colorStyle>
</file>

<file path=xl/charts/colors6.xml><?xml version="1.0" encoding="utf-8"?>
<cs:colorStyle xmlns:cs="http://schemas.microsoft.com/office/drawing/2012/chartStyle" xmlns:a="http://schemas.openxmlformats.org/drawingml/2006/main" meth="cycle" id="10">
  <a:schemeClr val="accent1"/>
</cs:colorStyle>
</file>

<file path=xl/charts/colors7.xml><?xml version="1.0" encoding="utf-8"?>
<cs:colorStyle xmlns:cs="http://schemas.microsoft.com/office/drawing/2012/chartStyle" xmlns:a="http://schemas.openxmlformats.org/drawingml/2006/main" meth="cycle" id="10">
  <a:schemeClr val="accent1"/>
</cs:colorStyle>
</file>

<file path=xl/charts/colors8.xml><?xml version="1.0" encoding="utf-8"?>
<cs:colorStyle xmlns:cs="http://schemas.microsoft.com/office/drawing/2012/chartStyle" xmlns:a="http://schemas.openxmlformats.org/drawingml/2006/main" meth="cycle" id="10">
  <a:schemeClr val="accent1"/>
</cs:colorStyle>
</file>

<file path=xl/charts/colors9.xml><?xml version="1.0" encoding="utf-8"?>
<cs:colorStyle xmlns:cs="http://schemas.microsoft.com/office/drawing/2012/chartStyle" xmlns:a="http://schemas.openxmlformats.org/drawingml/2006/main" meth="cycle" id="10">
  <a:schemeClr val="accent1"/>
</cs:colorStyle>
</file>

<file path=xl/charts/style1.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3.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4.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5.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6.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7.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8.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9.xml><?xml version="1.0" encoding="utf-8"?>
<cs:chartStyle xmlns:cs="http://schemas.microsoft.com/office/drawing/2012/chartStyle" xmlns:a="http://schemas.openxmlformats.org/drawingml/2006/main" id="419">
  <cs:axisTitle>
    <cs:lnRef idx="0"/>
    <cs:lineWidthScale>1</cs:lineWidthScale>
    <cs:fillRef idx="0"/>
    <cs:effectRef idx="0"/>
    <cs:fontRef idx="minor"/>
    <a:defRPr sz="1800" b="0"/>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 Id="rId4" Type="http://schemas.openxmlformats.org/officeDocument/2006/relationships/chart" Target="../charts/chart5.xml"/><Relationship Id="rId5" Type="http://schemas.openxmlformats.org/officeDocument/2006/relationships/chart" Target="../charts/chart6.xml"/><Relationship Id="rId6" Type="http://schemas.openxmlformats.org/officeDocument/2006/relationships/chart" Target="../charts/chart7.xml"/><Relationship Id="rId7" Type="http://schemas.openxmlformats.org/officeDocument/2006/relationships/chart" Target="../charts/chart8.xml"/><Relationship Id="rId8" Type="http://schemas.openxmlformats.org/officeDocument/2006/relationships/chart" Target="../charts/chart9.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5</xdr:row>
      <xdr:rowOff>144000</xdr:rowOff>
    </xdr:from>
    <xdr:to>
      <xdr:col>10</xdr:col>
      <xdr:colOff>609480</xdr:colOff>
      <xdr:row>22</xdr:row>
      <xdr:rowOff>142560</xdr:rowOff>
    </xdr:to>
    <xdr:graphicFrame>
      <xdr:nvGraphicFramePr>
        <xdr:cNvPr id="1" name="Chart"/>
        <xdr:cNvGraphicFramePr/>
      </xdr:nvGraphicFramePr>
      <xdr:xfrm>
        <a:off x="7095960" y="1143000"/>
        <a:ext cx="4890240" cy="32367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8</xdr:row>
      <xdr:rowOff>0</xdr:rowOff>
    </xdr:from>
    <xdr:to>
      <xdr:col>9</xdr:col>
      <xdr:colOff>844200</xdr:colOff>
      <xdr:row>23</xdr:row>
      <xdr:rowOff>252360</xdr:rowOff>
    </xdr:to>
    <xdr:graphicFrame>
      <xdr:nvGraphicFramePr>
        <xdr:cNvPr id="2" name="Chart"/>
        <xdr:cNvGraphicFramePr/>
      </xdr:nvGraphicFramePr>
      <xdr:xfrm>
        <a:off x="0" y="2489040"/>
        <a:ext cx="8456760" cy="40626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29520</xdr:colOff>
      <xdr:row>7</xdr:row>
      <xdr:rowOff>86760</xdr:rowOff>
    </xdr:from>
    <xdr:to>
      <xdr:col>20</xdr:col>
      <xdr:colOff>29160</xdr:colOff>
      <xdr:row>24</xdr:row>
      <xdr:rowOff>12960</xdr:rowOff>
    </xdr:to>
    <xdr:graphicFrame>
      <xdr:nvGraphicFramePr>
        <xdr:cNvPr id="3" name="Chart"/>
        <xdr:cNvGraphicFramePr/>
      </xdr:nvGraphicFramePr>
      <xdr:xfrm>
        <a:off x="8487720" y="2322000"/>
        <a:ext cx="8457840" cy="424404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26</xdr:row>
      <xdr:rowOff>0</xdr:rowOff>
    </xdr:from>
    <xdr:to>
      <xdr:col>9</xdr:col>
      <xdr:colOff>844200</xdr:colOff>
      <xdr:row>46</xdr:row>
      <xdr:rowOff>252360</xdr:rowOff>
    </xdr:to>
    <xdr:graphicFrame>
      <xdr:nvGraphicFramePr>
        <xdr:cNvPr id="4" name="Chart"/>
        <xdr:cNvGraphicFramePr/>
      </xdr:nvGraphicFramePr>
      <xdr:xfrm>
        <a:off x="0" y="7061040"/>
        <a:ext cx="8456760" cy="53326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10</xdr:col>
      <xdr:colOff>0</xdr:colOff>
      <xdr:row>26</xdr:row>
      <xdr:rowOff>0</xdr:rowOff>
    </xdr:from>
    <xdr:to>
      <xdr:col>19</xdr:col>
      <xdr:colOff>844200</xdr:colOff>
      <xdr:row>51</xdr:row>
      <xdr:rowOff>252720</xdr:rowOff>
    </xdr:to>
    <xdr:graphicFrame>
      <xdr:nvGraphicFramePr>
        <xdr:cNvPr id="5" name="Chart"/>
        <xdr:cNvGraphicFramePr/>
      </xdr:nvGraphicFramePr>
      <xdr:xfrm>
        <a:off x="8458200" y="7061040"/>
        <a:ext cx="8456760" cy="660276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49</xdr:row>
      <xdr:rowOff>0</xdr:rowOff>
    </xdr:from>
    <xdr:to>
      <xdr:col>9</xdr:col>
      <xdr:colOff>844200</xdr:colOff>
      <xdr:row>64</xdr:row>
      <xdr:rowOff>252360</xdr:rowOff>
    </xdr:to>
    <xdr:graphicFrame>
      <xdr:nvGraphicFramePr>
        <xdr:cNvPr id="6" name="Chart"/>
        <xdr:cNvGraphicFramePr/>
      </xdr:nvGraphicFramePr>
      <xdr:xfrm>
        <a:off x="0" y="12903120"/>
        <a:ext cx="8456760" cy="406260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10</xdr:col>
      <xdr:colOff>0</xdr:colOff>
      <xdr:row>54</xdr:row>
      <xdr:rowOff>0</xdr:rowOff>
    </xdr:from>
    <xdr:to>
      <xdr:col>19</xdr:col>
      <xdr:colOff>844200</xdr:colOff>
      <xdr:row>74</xdr:row>
      <xdr:rowOff>252720</xdr:rowOff>
    </xdr:to>
    <xdr:graphicFrame>
      <xdr:nvGraphicFramePr>
        <xdr:cNvPr id="7" name="Chart"/>
        <xdr:cNvGraphicFramePr/>
      </xdr:nvGraphicFramePr>
      <xdr:xfrm>
        <a:off x="8458200" y="14173200"/>
        <a:ext cx="8456760" cy="533268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67</xdr:row>
      <xdr:rowOff>0</xdr:rowOff>
    </xdr:from>
    <xdr:to>
      <xdr:col>9</xdr:col>
      <xdr:colOff>844200</xdr:colOff>
      <xdr:row>92</xdr:row>
      <xdr:rowOff>252720</xdr:rowOff>
    </xdr:to>
    <xdr:graphicFrame>
      <xdr:nvGraphicFramePr>
        <xdr:cNvPr id="8" name="Chart"/>
        <xdr:cNvGraphicFramePr/>
      </xdr:nvGraphicFramePr>
      <xdr:xfrm>
        <a:off x="0" y="17475120"/>
        <a:ext cx="8456760" cy="660276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0</xdr:colOff>
      <xdr:row>77</xdr:row>
      <xdr:rowOff>0</xdr:rowOff>
    </xdr:from>
    <xdr:to>
      <xdr:col>19</xdr:col>
      <xdr:colOff>844200</xdr:colOff>
      <xdr:row>96</xdr:row>
      <xdr:rowOff>252720</xdr:rowOff>
    </xdr:to>
    <xdr:graphicFrame>
      <xdr:nvGraphicFramePr>
        <xdr:cNvPr id="9" name="Chart"/>
        <xdr:cNvGraphicFramePr/>
      </xdr:nvGraphicFramePr>
      <xdr:xfrm>
        <a:off x="8458200" y="20015280"/>
        <a:ext cx="8456760" cy="507852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id="1" name="EvaluationMatrixV4Table" displayName="EvaluationMatrixV4Table" ref="A1:S59" headerRowCount="1" totalsRowCount="0" totalsRowShown="0">
  <tableColumns count="19">
    <tableColumn id="1" name="Paper ID"/>
    <tableColumn id="2" name="Title"/>
    <tableColumn id="3" name="Inclusion Decision"/>
    <tableColumn id="4" name="Included Flag"/>
    <tableColumn id="5" name="Simulation"/>
    <tableColumn id="6" name="Analytical/Modeling"/>
    <tableColumn id="7" name="Experimental/Testbed"/>
    <tableColumn id="8" name="Survey/Overview"/>
    <tableColumn id="9" name="Link-Level Simulation"/>
    <tableColumn id="10" name="System-Level Simulation"/>
    <tableColumn id="11" name="Event-Based Simulation"/>
    <tableColumn id="12" name="Numerical Simulation"/>
    <tableColumn id="13" name="SDR/Over-the-Air"/>
    <tableColumn id="14" name="Hardware Prototype"/>
    <tableColumn id="15" name="Commercial Device"/>
    <tableColumn id="16" name="Field Trial"/>
    <tableColumn id="17" name="Industrial Measurement"/>
    <tableColumn id="18" name="Primary Evaluation Method"/>
    <tableColumn id="19" name="Evaluation Evidence"/>
  </tableColumns>
</table>
</file>

<file path=xl/tables/table2.xml><?xml version="1.0" encoding="utf-8"?>
<table xmlns="http://schemas.openxmlformats.org/spreadsheetml/2006/main" id="2" name="GoldStandardTable" displayName="GoldStandardTable" ref="A1:AM59" headerRowCount="1" totalsRowCount="0" totalsRowShown="0">
  <tableColumns count="39">
    <tableColumn id="1" name="Paper ID"/>
    <tableColumn id="2" name="Authors"/>
    <tableColumn id="3" name="Year"/>
    <tableColumn id="4" name="Title"/>
    <tableColumn id="5" name="Publication Type"/>
    <tableColumn id="6" name="Inclusion Decision"/>
    <tableColumn id="7" name="Decision Rationale"/>
    <tableColumn id="8" name="Primary Contribution"/>
    <tableColumn id="9" name="Secondary Contributions"/>
    <tableColumn id="10" name="Technical Topics"/>
    <tableColumn id="11" name="Evaluation Method"/>
    <tableColumn id="12" name="Validation Level"/>
    <tableColumn id="13" name="Hardware/Platform"/>
    <tableColumn id="14" name="Software/Tools"/>
    <tableColumn id="15" name="Topology"/>
    <tableColumn id="16" name="Scenario/Environment"/>
    <tableColumn id="17" name="Frequency/Band"/>
    <tableColumn id="18" name="Bandwidth"/>
    <tableColumn id="19" name="Network Scale"/>
    <tableColumn id="20" name="Hop Count"/>
    <tableColumn id="21" name="Performance Metrics"/>
    <tableColumn id="22" name="Application Domain"/>
    <tableColumn id="23" name="Research Objective"/>
    <tableColumn id="24" name="Methodology Summary"/>
    <tableColumn id="25" name="Key Results"/>
    <tableColumn id="26" name="Scientific Contribution"/>
    <tableColumn id="27" name="Limitations"/>
    <tableColumn id="28" name="Research Gap"/>
    <tableColumn id="29" name="Future Work"/>
    <tableColumn id="30" name="Open Code"/>
    <tableColumn id="31" name="Open Dataset"/>
    <tableColumn id="32" name="Open Hardware"/>
    <tableColumn id="33" name="DOI"/>
    <tableColumn id="34" name="Venue/Publisher"/>
    <tableColumn id="35" name="Country/Institution"/>
    <tableColumn id="36" name="Coding Confidence"/>
    <tableColumn id="37" name="Full-Text Verification"/>
    <tableColumn id="38" name="Evidence Source"/>
    <tableColumn id="39" name="Reviewer Notes"/>
  </tableColumns>
</table>
</file>

<file path=xl/tables/table3.xml><?xml version="1.0" encoding="utf-8"?>
<table xmlns="http://schemas.openxmlformats.org/spreadsheetml/2006/main" id="3" name="ScreeningTableV3" displayName="ScreeningTableV3" ref="A1:J59" headerRowCount="1" totalsRowCount="0" totalsRowShown="0">
  <tableColumns count="10">
    <tableColumn id="1" name="Paper ID"/>
    <tableColumn id="2" name="Title"/>
    <tableColumn id="3" name="Decision"/>
    <tableColumn id="4" name="Reason"/>
    <tableColumn id="5" name="Duplicate Of"/>
    <tableColumn id="6" name="Primary DECT Focus"/>
    <tableColumn id="7" name="Peer Reviewed"/>
    <tableColumn id="8" name="English"/>
    <tableColumn id="9" name="Full Text Available"/>
    <tableColumn id="10" name="Final Screening Status"/>
  </tableColumns>
</table>
</file>

<file path=xl/tables/table4.xml><?xml version="1.0" encoding="utf-8"?>
<table xmlns="http://schemas.openxmlformats.org/spreadsheetml/2006/main" id="4" name="SLRExtractionTable" displayName="SLRExtractionTable" ref="A1:N59" headerRowCount="1" totalsRowCount="0" totalsRowShown="0">
  <tableColumns count="14">
    <tableColumn id="1" name="ID"/>
    <tableColumn id="2" name="Paper/File"/>
    <tableColumn id="3" name="Detected Title"/>
    <tableColumn id="4" name="Include?"/>
    <tableColumn id="5" name="Research Category"/>
    <tableColumn id="6" name="Evaluation Type"/>
    <tableColumn id="7" name="Problem / Motivation"/>
    <tableColumn id="8" name="Approach / Methods"/>
    <tableColumn id="9" name="Key Findings"/>
    <tableColumn id="10" name="Contribution / Implications"/>
    <tableColumn id="11" name="Limitations"/>
    <tableColumn id="12" name="Research Gap"/>
    <tableColumn id="13" name="Notes"/>
    <tableColumn id="14" name="Source File"/>
  </tableColumns>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table" Target="../tables/table4.xml"/>
</Relationships>
</file>

<file path=xl/worksheets/_rels/sheet15.xml.rels><?xml version="1.0" encoding="UTF-8"?>
<Relationships xmlns="http://schemas.openxmlformats.org/package/2006/relationships"><Relationship Id="rId1" Type="http://schemas.openxmlformats.org/officeDocument/2006/relationships/table" Target="../tables/table2.xml"/>
</Relationships>
</file>

<file path=xl/worksheets/_rels/sheet21.xml.rels><?xml version="1.0" encoding="UTF-8"?>
<Relationships xmlns="http://schemas.openxmlformats.org/package/2006/relationships"><Relationship Id="rId1" Type="http://schemas.openxmlformats.org/officeDocument/2006/relationships/table" Target="../tables/table3.xml"/>
</Relationships>
</file>

<file path=xl/worksheets/_rels/sheet24.xml.rels><?xml version="1.0" encoding="UTF-8"?>
<Relationships xmlns="http://schemas.openxmlformats.org/package/2006/relationships"><Relationship Id="rId1" Type="http://schemas.openxmlformats.org/officeDocument/2006/relationships/table" Target="../tables/table1.xml"/>
</Relationships>
</file>

<file path=xl/worksheets/_rels/sheet3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62"/>
  </cols>
  <sheetData>
    <row r="1" customFormat="false" ht="18.65" hidden="false" customHeight="true" outlineLevel="0" collapsed="false">
      <c r="A1" s="2" t="s">
        <v>0</v>
      </c>
      <c r="B1" s="2"/>
    </row>
    <row r="2" customFormat="false" ht="15" hidden="false" customHeight="false" outlineLevel="0" collapsed="false">
      <c r="A2" s="2" t="s">
        <v>1</v>
      </c>
      <c r="B2" s="2" t="s">
        <v>2</v>
      </c>
    </row>
    <row r="3" customFormat="false" ht="15" hidden="false" customHeight="false" outlineLevel="0" collapsed="false">
      <c r="A3" s="1" t="s">
        <v>3</v>
      </c>
      <c r="B3" s="1" t="n">
        <v>58</v>
      </c>
    </row>
    <row r="4" customFormat="false" ht="15" hidden="false" customHeight="false" outlineLevel="0" collapsed="false">
      <c r="A4" s="1" t="s">
        <v>4</v>
      </c>
      <c r="B4" s="1" t="s">
        <v>5</v>
      </c>
    </row>
    <row r="7" customFormat="false" ht="15" hidden="false" customHeight="false" outlineLevel="0" collapsed="false">
      <c r="A7" s="3" t="s">
        <v>6</v>
      </c>
      <c r="B7" s="3" t="s">
        <v>7</v>
      </c>
    </row>
    <row r="8" customFormat="false" ht="15" hidden="false" customHeight="false" outlineLevel="0" collapsed="false">
      <c r="A8" s="1" t="s">
        <v>8</v>
      </c>
      <c r="B8" s="1" t="n">
        <v>58</v>
      </c>
    </row>
    <row r="11" customFormat="false" ht="15" hidden="false" customHeight="false" outlineLevel="0" collapsed="false">
      <c r="A11" s="3" t="s">
        <v>9</v>
      </c>
      <c r="B11" s="3" t="s">
        <v>7</v>
      </c>
    </row>
    <row r="12" customFormat="false" ht="15" hidden="false" customHeight="false" outlineLevel="0" collapsed="false">
      <c r="A12" s="1" t="s">
        <v>10</v>
      </c>
      <c r="B12" s="1" t="n">
        <v>58</v>
      </c>
    </row>
    <row r="13" customFormat="false" ht="15" hidden="false" customHeight="false" outlineLevel="0" collapsed="false">
      <c r="A13" s="1" t="s">
        <v>11</v>
      </c>
      <c r="B13" s="1" t="n">
        <v>58</v>
      </c>
    </row>
    <row r="14" customFormat="false" ht="15" hidden="false" customHeight="false" outlineLevel="0" collapsed="false">
      <c r="A14" s="1" t="s">
        <v>12</v>
      </c>
      <c r="B14" s="1" t="n">
        <v>56</v>
      </c>
    </row>
    <row r="15" customFormat="false" ht="15" hidden="false" customHeight="false" outlineLevel="0" collapsed="false">
      <c r="A15" s="1" t="s">
        <v>13</v>
      </c>
      <c r="B15" s="1" t="n">
        <v>42</v>
      </c>
    </row>
    <row r="16" customFormat="false" ht="15" hidden="false" customHeight="false" outlineLevel="0" collapsed="false">
      <c r="A16" s="1" t="s">
        <v>14</v>
      </c>
      <c r="B16" s="1" t="n">
        <v>42</v>
      </c>
    </row>
    <row r="17" customFormat="false" ht="15" hidden="false" customHeight="false" outlineLevel="0" collapsed="false">
      <c r="A17" s="1" t="s">
        <v>15</v>
      </c>
      <c r="B17" s="1" t="n">
        <v>28</v>
      </c>
    </row>
    <row r="18" customFormat="false" ht="15" hidden="false" customHeight="false" outlineLevel="0" collapsed="false">
      <c r="A18" s="1" t="s">
        <v>16</v>
      </c>
      <c r="B18" s="1" t="n">
        <v>13</v>
      </c>
    </row>
    <row r="19" customFormat="false" ht="15" hidden="false" customHeight="false" outlineLevel="0" collapsed="false">
      <c r="A19" s="1" t="s">
        <v>17</v>
      </c>
      <c r="B19" s="1" t="n">
        <v>9</v>
      </c>
    </row>
    <row r="22" customFormat="false" ht="15" hidden="false" customHeight="false" outlineLevel="0" collapsed="false">
      <c r="A22" s="4" t="s">
        <v>18</v>
      </c>
      <c r="B22" s="4" t="s">
        <v>7</v>
      </c>
    </row>
    <row r="23" customFormat="false" ht="15" hidden="false" customHeight="false" outlineLevel="0" collapsed="false">
      <c r="A23" s="5" t="s">
        <v>19</v>
      </c>
      <c r="B23" s="5" t="n">
        <v>26</v>
      </c>
    </row>
    <row r="24" customFormat="false" ht="15" hidden="false" customHeight="false" outlineLevel="0" collapsed="false">
      <c r="A24" s="5" t="s">
        <v>20</v>
      </c>
      <c r="B24" s="5" t="n">
        <v>31</v>
      </c>
    </row>
    <row r="25" customFormat="false" ht="15" hidden="false" customHeight="false" outlineLevel="0" collapsed="false">
      <c r="A25" s="5" t="s">
        <v>21</v>
      </c>
      <c r="B25" s="5" t="n">
        <v>10</v>
      </c>
    </row>
    <row r="26" customFormat="false" ht="15" hidden="false" customHeight="false" outlineLevel="0" collapsed="false">
      <c r="A26" s="5" t="s">
        <v>22</v>
      </c>
      <c r="B26" s="5" t="n">
        <v>18</v>
      </c>
    </row>
    <row r="28" customFormat="false" ht="15" hidden="false" customHeight="false" outlineLevel="0" collapsed="false">
      <c r="A28" s="6" t="s">
        <v>23</v>
      </c>
      <c r="B28" s="6" t="s">
        <v>24</v>
      </c>
    </row>
    <row r="29" customFormat="false" ht="15" hidden="false" customHeight="false" outlineLevel="0" collapsed="false">
      <c r="A29" s="5" t="s">
        <v>25</v>
      </c>
      <c r="B29" s="5" t="n">
        <v>58</v>
      </c>
    </row>
    <row r="30" customFormat="false" ht="15" hidden="false" customHeight="false" outlineLevel="0" collapsed="false">
      <c r="A30" s="5" t="s">
        <v>26</v>
      </c>
      <c r="B30" s="5" t="n">
        <v>35</v>
      </c>
    </row>
    <row r="31" customFormat="false" ht="23.85" hidden="false" customHeight="false" outlineLevel="0" collapsed="false">
      <c r="A31" s="5" t="s">
        <v>27</v>
      </c>
      <c r="B31" s="5" t="s">
        <v>28</v>
      </c>
    </row>
    <row r="33" customFormat="false" ht="15" hidden="false" customHeight="false" outlineLevel="0" collapsed="false">
      <c r="A33" s="7" t="s">
        <v>29</v>
      </c>
      <c r="B33" s="5" t="s">
        <v>30</v>
      </c>
    </row>
    <row r="34" customFormat="false" ht="15" hidden="false" customHeight="false" outlineLevel="0" collapsed="false">
      <c r="A34" s="7" t="s">
        <v>31</v>
      </c>
      <c r="B34" s="5" t="s">
        <v>32</v>
      </c>
    </row>
    <row r="35" customFormat="false" ht="15" hidden="false" customHeight="false" outlineLevel="0" collapsed="false">
      <c r="A35" s="7" t="s">
        <v>33</v>
      </c>
      <c r="B35" s="5" t="s">
        <v>34</v>
      </c>
    </row>
    <row r="36" customFormat="false" ht="15" hidden="false" customHeight="false" outlineLevel="0" collapsed="false">
      <c r="A36" s="7" t="s">
        <v>35</v>
      </c>
      <c r="B36" s="5" t="s">
        <v>36</v>
      </c>
    </row>
  </sheetData>
  <mergeCells count="1">
    <mergeCell ref="A1:B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50.91"/>
  </cols>
  <sheetData>
    <row r="1" customFormat="false" ht="15" hidden="false" customHeight="false" outlineLevel="0" collapsed="false">
      <c r="A1" s="8" t="s">
        <v>37</v>
      </c>
    </row>
    <row r="2" customFormat="false" ht="15" hidden="false" customHeight="false" outlineLevel="0" collapsed="false">
      <c r="A2" s="1" t="s">
        <v>8</v>
      </c>
    </row>
    <row r="3" customFormat="false" ht="15" hidden="false" customHeight="false" outlineLevel="0" collapsed="false">
      <c r="A3" s="1" t="s">
        <v>38</v>
      </c>
    </row>
    <row r="4" customFormat="false" ht="15" hidden="false" customHeight="false" outlineLevel="0" collapsed="false">
      <c r="A4" s="1" t="s">
        <v>39</v>
      </c>
    </row>
    <row r="6" customFormat="false" ht="15" hidden="false" customHeight="false" outlineLevel="0" collapsed="false">
      <c r="A6" s="1" t="s">
        <v>40</v>
      </c>
    </row>
    <row r="7" customFormat="false" ht="15" hidden="false" customHeight="false" outlineLevel="0" collapsed="false">
      <c r="A7" s="1" t="s">
        <v>20</v>
      </c>
    </row>
    <row r="8" customFormat="false" ht="15" hidden="false" customHeight="false" outlineLevel="0" collapsed="false">
      <c r="A8" s="1" t="s">
        <v>22</v>
      </c>
    </row>
    <row r="9" customFormat="false" ht="15" hidden="false" customHeight="false" outlineLevel="0" collapsed="false">
      <c r="A9" s="1" t="s">
        <v>19</v>
      </c>
    </row>
    <row r="10" customFormat="false" ht="15" hidden="false" customHeight="false" outlineLevel="0" collapsed="false">
      <c r="A10" s="1" t="s">
        <v>21</v>
      </c>
    </row>
    <row r="12" customFormat="false" ht="15" hidden="false" customHeight="false" outlineLevel="0" collapsed="false">
      <c r="A12" s="1" t="s">
        <v>41</v>
      </c>
    </row>
    <row r="13" customFormat="false" ht="15" hidden="false" customHeight="false" outlineLevel="0" collapsed="false">
      <c r="A13" s="1" t="s">
        <v>10</v>
      </c>
    </row>
    <row r="14" customFormat="false" ht="15" hidden="false" customHeight="false" outlineLevel="0" collapsed="false">
      <c r="A14" s="1" t="s">
        <v>11</v>
      </c>
    </row>
    <row r="15" customFormat="false" ht="15" hidden="false" customHeight="false" outlineLevel="0" collapsed="false">
      <c r="A15" s="1" t="s">
        <v>12</v>
      </c>
    </row>
    <row r="16" customFormat="false" ht="15" hidden="false" customHeight="false" outlineLevel="0" collapsed="false">
      <c r="A16" s="1" t="s">
        <v>13</v>
      </c>
    </row>
    <row r="17" customFormat="false" ht="15" hidden="false" customHeight="false" outlineLevel="0" collapsed="false">
      <c r="A17" s="1" t="s">
        <v>14</v>
      </c>
    </row>
    <row r="18" customFormat="false" ht="15" hidden="false" customHeight="false" outlineLevel="0" collapsed="false">
      <c r="A18" s="1" t="s">
        <v>15</v>
      </c>
    </row>
    <row r="19" customFormat="false" ht="15" hidden="false" customHeight="false" outlineLevel="0" collapsed="false">
      <c r="A19" s="1" t="s">
        <v>16</v>
      </c>
    </row>
    <row r="20" customFormat="false" ht="15" hidden="false" customHeight="false" outlineLevel="0" collapsed="false">
      <c r="A20" s="1" t="s">
        <v>17</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42"/>
    <col collapsed="false" customWidth="true" hidden="false" outlineLevel="0" max="4" min="3" style="1" width="27"/>
    <col collapsed="false" customWidth="true" hidden="false" outlineLevel="0" max="5" min="5" style="1" width="10"/>
    <col collapsed="false" customWidth="true" hidden="false" outlineLevel="0" max="6" min="6" style="1" width="58"/>
    <col collapsed="false" customWidth="true" hidden="false" outlineLevel="0" max="7" min="7" style="1" width="12"/>
    <col collapsed="false" customWidth="true" hidden="false" outlineLevel="0" max="8" min="8" style="1" width="42"/>
  </cols>
  <sheetData>
    <row r="1" customFormat="false" ht="23.85" hidden="false" customHeight="false" outlineLevel="0" collapsed="false">
      <c r="A1" s="9" t="s">
        <v>42</v>
      </c>
      <c r="B1" s="9" t="s">
        <v>43</v>
      </c>
      <c r="C1" s="9" t="s">
        <v>44</v>
      </c>
      <c r="D1" s="9" t="s">
        <v>18</v>
      </c>
      <c r="E1" s="9" t="s">
        <v>45</v>
      </c>
      <c r="F1" s="9" t="s">
        <v>46</v>
      </c>
      <c r="G1" s="9" t="s">
        <v>47</v>
      </c>
      <c r="H1" s="9" t="s">
        <v>48</v>
      </c>
    </row>
    <row r="2" customFormat="false" ht="48" hidden="false" customHeight="true" outlineLevel="0" collapsed="false">
      <c r="A2" s="10" t="n">
        <v>1</v>
      </c>
      <c r="B2" s="11" t="s">
        <v>49</v>
      </c>
      <c r="C2" s="11" t="s">
        <v>50</v>
      </c>
      <c r="D2" s="11" t="s">
        <v>20</v>
      </c>
      <c r="E2" s="10" t="s">
        <v>8</v>
      </c>
      <c r="F2" s="11" t="s">
        <v>51</v>
      </c>
      <c r="G2" s="10" t="s">
        <v>52</v>
      </c>
      <c r="H2" s="11"/>
    </row>
    <row r="3" customFormat="false" ht="48" hidden="false" customHeight="true" outlineLevel="0" collapsed="false">
      <c r="A3" s="10" t="n">
        <v>2</v>
      </c>
      <c r="B3" s="11" t="s">
        <v>53</v>
      </c>
      <c r="C3" s="11" t="s">
        <v>54</v>
      </c>
      <c r="D3" s="11" t="s">
        <v>20</v>
      </c>
      <c r="E3" s="10" t="s">
        <v>8</v>
      </c>
      <c r="F3" s="11" t="s">
        <v>55</v>
      </c>
      <c r="G3" s="10" t="s">
        <v>52</v>
      </c>
      <c r="H3" s="11"/>
    </row>
    <row r="4" customFormat="false" ht="48" hidden="false" customHeight="true" outlineLevel="0" collapsed="false">
      <c r="A4" s="10" t="n">
        <v>3</v>
      </c>
      <c r="B4" s="11" t="s">
        <v>56</v>
      </c>
      <c r="C4" s="11" t="s">
        <v>20</v>
      </c>
      <c r="D4" s="11" t="s">
        <v>20</v>
      </c>
      <c r="E4" s="10" t="s">
        <v>38</v>
      </c>
      <c r="F4" s="11" t="s">
        <v>57</v>
      </c>
      <c r="G4" s="10" t="s">
        <v>52</v>
      </c>
      <c r="H4" s="11"/>
    </row>
    <row r="5" customFormat="false" ht="48" hidden="false" customHeight="true" outlineLevel="0" collapsed="false">
      <c r="A5" s="10" t="n">
        <v>4</v>
      </c>
      <c r="B5" s="11" t="s">
        <v>58</v>
      </c>
      <c r="C5" s="11" t="s">
        <v>59</v>
      </c>
      <c r="D5" s="11" t="s">
        <v>19</v>
      </c>
      <c r="E5" s="10" t="s">
        <v>8</v>
      </c>
      <c r="F5" s="11" t="s">
        <v>60</v>
      </c>
      <c r="G5" s="10" t="s">
        <v>61</v>
      </c>
      <c r="H5" s="11"/>
    </row>
    <row r="6" customFormat="false" ht="48" hidden="false" customHeight="true" outlineLevel="0" collapsed="false">
      <c r="A6" s="10" t="n">
        <v>5</v>
      </c>
      <c r="B6" s="11" t="s">
        <v>62</v>
      </c>
      <c r="C6" s="11" t="s">
        <v>63</v>
      </c>
      <c r="D6" s="11" t="s">
        <v>21</v>
      </c>
      <c r="E6" s="10" t="s">
        <v>8</v>
      </c>
      <c r="F6" s="11" t="s">
        <v>64</v>
      </c>
      <c r="G6" s="10" t="s">
        <v>52</v>
      </c>
      <c r="H6" s="11" t="s">
        <v>65</v>
      </c>
    </row>
    <row r="7" customFormat="false" ht="48" hidden="false" customHeight="true" outlineLevel="0" collapsed="false">
      <c r="A7" s="10" t="n">
        <v>6</v>
      </c>
      <c r="B7" s="11" t="s">
        <v>66</v>
      </c>
      <c r="C7" s="11" t="s">
        <v>67</v>
      </c>
      <c r="D7" s="11" t="s">
        <v>67</v>
      </c>
      <c r="E7" s="10" t="s">
        <v>38</v>
      </c>
      <c r="F7" s="11" t="s">
        <v>68</v>
      </c>
      <c r="G7" s="10" t="s">
        <v>52</v>
      </c>
      <c r="H7" s="11" t="s">
        <v>65</v>
      </c>
    </row>
    <row r="8" customFormat="false" ht="48" hidden="false" customHeight="true" outlineLevel="0" collapsed="false">
      <c r="A8" s="10" t="n">
        <v>7</v>
      </c>
      <c r="B8" s="11" t="s">
        <v>69</v>
      </c>
      <c r="C8" s="11" t="s">
        <v>70</v>
      </c>
      <c r="D8" s="11" t="s">
        <v>22</v>
      </c>
      <c r="E8" s="10" t="s">
        <v>8</v>
      </c>
      <c r="F8" s="11" t="s">
        <v>71</v>
      </c>
      <c r="G8" s="10" t="s">
        <v>52</v>
      </c>
      <c r="H8" s="11"/>
    </row>
    <row r="9" customFormat="false" ht="48" hidden="false" customHeight="true" outlineLevel="0" collapsed="false">
      <c r="A9" s="10" t="n">
        <v>8</v>
      </c>
      <c r="B9" s="11" t="s">
        <v>72</v>
      </c>
      <c r="C9" s="11" t="s">
        <v>19</v>
      </c>
      <c r="D9" s="11" t="s">
        <v>19</v>
      </c>
      <c r="E9" s="10" t="s">
        <v>38</v>
      </c>
      <c r="F9" s="11" t="s">
        <v>73</v>
      </c>
      <c r="G9" s="10" t="s">
        <v>61</v>
      </c>
      <c r="H9" s="11"/>
    </row>
    <row r="10" customFormat="false" ht="48" hidden="false" customHeight="true" outlineLevel="0" collapsed="false">
      <c r="A10" s="10" t="n">
        <v>9</v>
      </c>
      <c r="B10" s="11" t="s">
        <v>74</v>
      </c>
      <c r="C10" s="11" t="s">
        <v>20</v>
      </c>
      <c r="D10" s="11" t="s">
        <v>20</v>
      </c>
      <c r="E10" s="10" t="s">
        <v>38</v>
      </c>
      <c r="F10" s="11" t="s">
        <v>75</v>
      </c>
      <c r="G10" s="10" t="s">
        <v>52</v>
      </c>
      <c r="H10" s="11" t="s">
        <v>76</v>
      </c>
    </row>
    <row r="11" customFormat="false" ht="48" hidden="false" customHeight="true" outlineLevel="0" collapsed="false">
      <c r="A11" s="10" t="n">
        <v>10</v>
      </c>
      <c r="B11" s="11" t="s">
        <v>77</v>
      </c>
      <c r="C11" s="11" t="s">
        <v>20</v>
      </c>
      <c r="D11" s="11" t="s">
        <v>20</v>
      </c>
      <c r="E11" s="10" t="s">
        <v>38</v>
      </c>
      <c r="F11" s="11" t="s">
        <v>78</v>
      </c>
      <c r="G11" s="10" t="s">
        <v>52</v>
      </c>
      <c r="H11" s="11" t="s">
        <v>76</v>
      </c>
    </row>
    <row r="12" customFormat="false" ht="48" hidden="false" customHeight="true" outlineLevel="0" collapsed="false">
      <c r="A12" s="10" t="n">
        <v>11</v>
      </c>
      <c r="B12" s="11" t="s">
        <v>79</v>
      </c>
      <c r="C12" s="11" t="s">
        <v>80</v>
      </c>
      <c r="D12" s="11" t="s">
        <v>22</v>
      </c>
      <c r="E12" s="10" t="s">
        <v>8</v>
      </c>
      <c r="F12" s="11" t="s">
        <v>81</v>
      </c>
      <c r="G12" s="10" t="s">
        <v>52</v>
      </c>
      <c r="H12" s="11"/>
    </row>
    <row r="13" customFormat="false" ht="48" hidden="false" customHeight="true" outlineLevel="0" collapsed="false">
      <c r="A13" s="10" t="n">
        <v>12</v>
      </c>
      <c r="B13" s="11" t="s">
        <v>82</v>
      </c>
      <c r="C13" s="11" t="s">
        <v>70</v>
      </c>
      <c r="D13" s="11" t="s">
        <v>22</v>
      </c>
      <c r="E13" s="10" t="s">
        <v>8</v>
      </c>
      <c r="F13" s="11" t="s">
        <v>83</v>
      </c>
      <c r="G13" s="10" t="s">
        <v>52</v>
      </c>
      <c r="H13" s="11"/>
    </row>
    <row r="14" customFormat="false" ht="48" hidden="false" customHeight="true" outlineLevel="0" collapsed="false">
      <c r="A14" s="10" t="n">
        <v>13</v>
      </c>
      <c r="B14" s="11" t="s">
        <v>84</v>
      </c>
      <c r="C14" s="11" t="s">
        <v>19</v>
      </c>
      <c r="D14" s="11" t="s">
        <v>19</v>
      </c>
      <c r="E14" s="10" t="s">
        <v>38</v>
      </c>
      <c r="F14" s="11" t="s">
        <v>85</v>
      </c>
      <c r="G14" s="10" t="s">
        <v>61</v>
      </c>
      <c r="H14" s="11"/>
    </row>
    <row r="15" customFormat="false" ht="48" hidden="false" customHeight="true" outlineLevel="0" collapsed="false">
      <c r="A15" s="10" t="n">
        <v>14</v>
      </c>
      <c r="B15" s="11" t="s">
        <v>86</v>
      </c>
      <c r="C15" s="11" t="s">
        <v>63</v>
      </c>
      <c r="D15" s="11" t="s">
        <v>22</v>
      </c>
      <c r="E15" s="10" t="s">
        <v>8</v>
      </c>
      <c r="F15" s="11" t="s">
        <v>87</v>
      </c>
      <c r="G15" s="10" t="s">
        <v>52</v>
      </c>
      <c r="H15" s="11"/>
    </row>
    <row r="16" customFormat="false" ht="48" hidden="false" customHeight="true" outlineLevel="0" collapsed="false">
      <c r="A16" s="10" t="n">
        <v>15</v>
      </c>
      <c r="B16" s="11" t="s">
        <v>88</v>
      </c>
      <c r="C16" s="11" t="s">
        <v>89</v>
      </c>
      <c r="D16" s="11" t="s">
        <v>20</v>
      </c>
      <c r="E16" s="10" t="s">
        <v>8</v>
      </c>
      <c r="F16" s="11" t="s">
        <v>90</v>
      </c>
      <c r="G16" s="10" t="s">
        <v>52</v>
      </c>
      <c r="H16" s="11" t="s">
        <v>91</v>
      </c>
    </row>
    <row r="17" customFormat="false" ht="48" hidden="false" customHeight="true" outlineLevel="0" collapsed="false">
      <c r="A17" s="10" t="n">
        <v>16</v>
      </c>
      <c r="B17" s="11" t="s">
        <v>92</v>
      </c>
      <c r="C17" s="11" t="s">
        <v>89</v>
      </c>
      <c r="D17" s="11" t="s">
        <v>89</v>
      </c>
      <c r="E17" s="10" t="s">
        <v>38</v>
      </c>
      <c r="F17" s="11" t="s">
        <v>93</v>
      </c>
      <c r="G17" s="10" t="s">
        <v>61</v>
      </c>
      <c r="H17" s="11" t="s">
        <v>65</v>
      </c>
    </row>
    <row r="18" customFormat="false" ht="48" hidden="false" customHeight="true" outlineLevel="0" collapsed="false">
      <c r="A18" s="10" t="n">
        <v>17</v>
      </c>
      <c r="B18" s="11" t="s">
        <v>94</v>
      </c>
      <c r="C18" s="11" t="s">
        <v>67</v>
      </c>
      <c r="D18" s="11" t="s">
        <v>67</v>
      </c>
      <c r="E18" s="10" t="s">
        <v>38</v>
      </c>
      <c r="F18" s="11" t="s">
        <v>95</v>
      </c>
      <c r="G18" s="10" t="s">
        <v>52</v>
      </c>
      <c r="H18" s="11"/>
    </row>
    <row r="19" customFormat="false" ht="48" hidden="false" customHeight="true" outlineLevel="0" collapsed="false">
      <c r="A19" s="10" t="n">
        <v>18</v>
      </c>
      <c r="B19" s="11" t="s">
        <v>96</v>
      </c>
      <c r="C19" s="11" t="s">
        <v>19</v>
      </c>
      <c r="D19" s="11" t="s">
        <v>19</v>
      </c>
      <c r="E19" s="10" t="s">
        <v>38</v>
      </c>
      <c r="F19" s="11" t="s">
        <v>97</v>
      </c>
      <c r="G19" s="10" t="s">
        <v>61</v>
      </c>
      <c r="H19" s="11"/>
    </row>
    <row r="20" customFormat="false" ht="48" hidden="false" customHeight="true" outlineLevel="0" collapsed="false">
      <c r="A20" s="10" t="n">
        <v>19</v>
      </c>
      <c r="B20" s="11" t="s">
        <v>98</v>
      </c>
      <c r="C20" s="11" t="s">
        <v>59</v>
      </c>
      <c r="D20" s="11" t="s">
        <v>20</v>
      </c>
      <c r="E20" s="10" t="s">
        <v>8</v>
      </c>
      <c r="F20" s="11" t="s">
        <v>99</v>
      </c>
      <c r="G20" s="10" t="s">
        <v>52</v>
      </c>
      <c r="H20" s="11"/>
    </row>
    <row r="21" customFormat="false" ht="48" hidden="false" customHeight="true" outlineLevel="0" collapsed="false">
      <c r="A21" s="10" t="n">
        <v>20</v>
      </c>
      <c r="B21" s="11" t="s">
        <v>100</v>
      </c>
      <c r="C21" s="11" t="s">
        <v>80</v>
      </c>
      <c r="D21" s="11" t="s">
        <v>70</v>
      </c>
      <c r="E21" s="10" t="s">
        <v>8</v>
      </c>
      <c r="F21" s="11" t="s">
        <v>101</v>
      </c>
      <c r="G21" s="10" t="s">
        <v>61</v>
      </c>
      <c r="H21" s="11"/>
    </row>
    <row r="22" customFormat="false" ht="48" hidden="false" customHeight="true" outlineLevel="0" collapsed="false">
      <c r="A22" s="10" t="n">
        <v>21</v>
      </c>
      <c r="B22" s="11" t="s">
        <v>102</v>
      </c>
      <c r="C22" s="11" t="s">
        <v>63</v>
      </c>
      <c r="D22" s="11" t="s">
        <v>63</v>
      </c>
      <c r="E22" s="10" t="s">
        <v>38</v>
      </c>
      <c r="F22" s="11" t="s">
        <v>103</v>
      </c>
      <c r="G22" s="10" t="s">
        <v>52</v>
      </c>
      <c r="H22" s="11"/>
    </row>
    <row r="23" customFormat="false" ht="48" hidden="false" customHeight="true" outlineLevel="0" collapsed="false">
      <c r="A23" s="10" t="n">
        <v>22</v>
      </c>
      <c r="B23" s="11" t="s">
        <v>104</v>
      </c>
      <c r="C23" s="11" t="s">
        <v>70</v>
      </c>
      <c r="D23" s="11" t="s">
        <v>70</v>
      </c>
      <c r="E23" s="10" t="s">
        <v>38</v>
      </c>
      <c r="F23" s="11" t="s">
        <v>105</v>
      </c>
      <c r="G23" s="10" t="s">
        <v>52</v>
      </c>
      <c r="H23" s="11"/>
    </row>
    <row r="24" customFormat="false" ht="48" hidden="false" customHeight="true" outlineLevel="0" collapsed="false">
      <c r="A24" s="10" t="n">
        <v>23</v>
      </c>
      <c r="B24" s="11" t="s">
        <v>106</v>
      </c>
      <c r="C24" s="11" t="s">
        <v>21</v>
      </c>
      <c r="D24" s="11" t="s">
        <v>67</v>
      </c>
      <c r="E24" s="10" t="s">
        <v>8</v>
      </c>
      <c r="F24" s="11" t="s">
        <v>107</v>
      </c>
      <c r="G24" s="10" t="s">
        <v>61</v>
      </c>
      <c r="H24" s="11"/>
    </row>
    <row r="25" customFormat="false" ht="48" hidden="false" customHeight="true" outlineLevel="0" collapsed="false">
      <c r="A25" s="10" t="n">
        <v>24</v>
      </c>
      <c r="B25" s="11" t="s">
        <v>108</v>
      </c>
      <c r="C25" s="11" t="s">
        <v>21</v>
      </c>
      <c r="D25" s="11" t="s">
        <v>109</v>
      </c>
      <c r="E25" s="10" t="s">
        <v>8</v>
      </c>
      <c r="F25" s="11" t="s">
        <v>110</v>
      </c>
      <c r="G25" s="10" t="s">
        <v>61</v>
      </c>
      <c r="H25" s="11" t="s">
        <v>65</v>
      </c>
    </row>
    <row r="26" customFormat="false" ht="48" hidden="false" customHeight="true" outlineLevel="0" collapsed="false">
      <c r="A26" s="10" t="n">
        <v>25</v>
      </c>
      <c r="B26" s="11" t="s">
        <v>111</v>
      </c>
      <c r="C26" s="11" t="s">
        <v>22</v>
      </c>
      <c r="D26" s="11" t="s">
        <v>19</v>
      </c>
      <c r="E26" s="10" t="s">
        <v>8</v>
      </c>
      <c r="F26" s="11" t="s">
        <v>112</v>
      </c>
      <c r="G26" s="10" t="s">
        <v>61</v>
      </c>
      <c r="H26" s="11"/>
    </row>
    <row r="27" customFormat="false" ht="48" hidden="false" customHeight="true" outlineLevel="0" collapsed="false">
      <c r="A27" s="10" t="n">
        <v>26</v>
      </c>
      <c r="B27" s="11" t="s">
        <v>113</v>
      </c>
      <c r="C27" s="11" t="s">
        <v>19</v>
      </c>
      <c r="D27" s="11" t="s">
        <v>50</v>
      </c>
      <c r="E27" s="10" t="s">
        <v>8</v>
      </c>
      <c r="F27" s="11" t="s">
        <v>114</v>
      </c>
      <c r="G27" s="10" t="s">
        <v>52</v>
      </c>
      <c r="H27" s="11"/>
    </row>
    <row r="28" customFormat="false" ht="48" hidden="false" customHeight="true" outlineLevel="0" collapsed="false">
      <c r="A28" s="10" t="n">
        <v>27</v>
      </c>
      <c r="B28" s="11" t="s">
        <v>115</v>
      </c>
      <c r="C28" s="11" t="s">
        <v>116</v>
      </c>
      <c r="D28" s="11" t="s">
        <v>70</v>
      </c>
      <c r="E28" s="10" t="s">
        <v>8</v>
      </c>
      <c r="F28" s="11" t="s">
        <v>117</v>
      </c>
      <c r="G28" s="10" t="s">
        <v>52</v>
      </c>
      <c r="H28" s="11"/>
    </row>
    <row r="29" customFormat="false" ht="48" hidden="false" customHeight="true" outlineLevel="0" collapsed="false">
      <c r="A29" s="10" t="n">
        <v>28</v>
      </c>
      <c r="B29" s="11" t="s">
        <v>118</v>
      </c>
      <c r="C29" s="11" t="s">
        <v>22</v>
      </c>
      <c r="D29" s="11" t="s">
        <v>22</v>
      </c>
      <c r="E29" s="10" t="s">
        <v>38</v>
      </c>
      <c r="F29" s="11" t="s">
        <v>119</v>
      </c>
      <c r="G29" s="10" t="s">
        <v>52</v>
      </c>
      <c r="H29" s="11"/>
    </row>
    <row r="30" customFormat="false" ht="48" hidden="false" customHeight="true" outlineLevel="0" collapsed="false">
      <c r="A30" s="10" t="n">
        <v>29</v>
      </c>
      <c r="B30" s="11" t="s">
        <v>120</v>
      </c>
      <c r="C30" s="11" t="s">
        <v>54</v>
      </c>
      <c r="D30" s="11" t="s">
        <v>89</v>
      </c>
      <c r="E30" s="10" t="s">
        <v>8</v>
      </c>
      <c r="F30" s="11" t="s">
        <v>121</v>
      </c>
      <c r="G30" s="10" t="s">
        <v>52</v>
      </c>
      <c r="H30" s="11"/>
    </row>
    <row r="31" customFormat="false" ht="48" hidden="false" customHeight="true" outlineLevel="0" collapsed="false">
      <c r="A31" s="10" t="n">
        <v>30</v>
      </c>
      <c r="B31" s="11" t="s">
        <v>122</v>
      </c>
      <c r="C31" s="11" t="s">
        <v>19</v>
      </c>
      <c r="D31" s="11" t="s">
        <v>20</v>
      </c>
      <c r="E31" s="10" t="s">
        <v>8</v>
      </c>
      <c r="F31" s="11" t="s">
        <v>123</v>
      </c>
      <c r="G31" s="10" t="s">
        <v>61</v>
      </c>
      <c r="H31" s="11"/>
    </row>
    <row r="32" customFormat="false" ht="48" hidden="false" customHeight="true" outlineLevel="0" collapsed="false">
      <c r="A32" s="10" t="n">
        <v>31</v>
      </c>
      <c r="B32" s="11" t="s">
        <v>124</v>
      </c>
      <c r="C32" s="11" t="s">
        <v>50</v>
      </c>
      <c r="D32" s="11" t="s">
        <v>59</v>
      </c>
      <c r="E32" s="10" t="s">
        <v>8</v>
      </c>
      <c r="F32" s="11" t="s">
        <v>125</v>
      </c>
      <c r="G32" s="10" t="s">
        <v>52</v>
      </c>
      <c r="H32" s="11"/>
    </row>
    <row r="33" customFormat="false" ht="48" hidden="false" customHeight="true" outlineLevel="0" collapsed="false">
      <c r="A33" s="10" t="n">
        <v>32</v>
      </c>
      <c r="B33" s="11" t="s">
        <v>126</v>
      </c>
      <c r="C33" s="11" t="s">
        <v>109</v>
      </c>
      <c r="D33" s="11" t="s">
        <v>109</v>
      </c>
      <c r="E33" s="10" t="s">
        <v>38</v>
      </c>
      <c r="F33" s="11" t="s">
        <v>127</v>
      </c>
      <c r="G33" s="10" t="s">
        <v>61</v>
      </c>
      <c r="H33" s="11"/>
    </row>
    <row r="34" customFormat="false" ht="48" hidden="false" customHeight="true" outlineLevel="0" collapsed="false">
      <c r="A34" s="10" t="n">
        <v>33</v>
      </c>
      <c r="B34" s="11" t="s">
        <v>128</v>
      </c>
      <c r="C34" s="11" t="s">
        <v>19</v>
      </c>
      <c r="D34" s="11" t="s">
        <v>19</v>
      </c>
      <c r="E34" s="10" t="s">
        <v>38</v>
      </c>
      <c r="F34" s="11" t="s">
        <v>129</v>
      </c>
      <c r="G34" s="10" t="s">
        <v>61</v>
      </c>
      <c r="H34" s="11"/>
    </row>
    <row r="35" customFormat="false" ht="48" hidden="false" customHeight="true" outlineLevel="0" collapsed="false">
      <c r="A35" s="10" t="n">
        <v>34</v>
      </c>
      <c r="B35" s="11" t="s">
        <v>130</v>
      </c>
      <c r="C35" s="11" t="s">
        <v>22</v>
      </c>
      <c r="D35" s="11" t="s">
        <v>22</v>
      </c>
      <c r="E35" s="10" t="s">
        <v>38</v>
      </c>
      <c r="F35" s="11" t="s">
        <v>131</v>
      </c>
      <c r="G35" s="10" t="s">
        <v>61</v>
      </c>
      <c r="H35" s="11"/>
    </row>
    <row r="36" customFormat="false" ht="48" hidden="false" customHeight="true" outlineLevel="0" collapsed="false">
      <c r="A36" s="10" t="n">
        <v>35</v>
      </c>
      <c r="B36" s="11" t="s">
        <v>132</v>
      </c>
      <c r="C36" s="11" t="s">
        <v>22</v>
      </c>
      <c r="D36" s="11" t="s">
        <v>22</v>
      </c>
      <c r="E36" s="10" t="s">
        <v>38</v>
      </c>
      <c r="F36" s="11" t="s">
        <v>133</v>
      </c>
      <c r="G36" s="10" t="s">
        <v>61</v>
      </c>
      <c r="H36" s="11" t="s">
        <v>65</v>
      </c>
    </row>
    <row r="37" customFormat="false" ht="48" hidden="false" customHeight="true" outlineLevel="0" collapsed="false">
      <c r="A37" s="10" t="n">
        <v>36</v>
      </c>
      <c r="B37" s="11" t="s">
        <v>134</v>
      </c>
      <c r="C37" s="11" t="s">
        <v>20</v>
      </c>
      <c r="D37" s="11" t="s">
        <v>20</v>
      </c>
      <c r="E37" s="10" t="s">
        <v>38</v>
      </c>
      <c r="F37" s="11" t="s">
        <v>135</v>
      </c>
      <c r="G37" s="10" t="s">
        <v>52</v>
      </c>
      <c r="H37" s="11"/>
    </row>
    <row r="38" customFormat="false" ht="48" hidden="false" customHeight="true" outlineLevel="0" collapsed="false">
      <c r="A38" s="10" t="n">
        <v>37</v>
      </c>
      <c r="B38" s="11" t="s">
        <v>136</v>
      </c>
      <c r="C38" s="11" t="s">
        <v>50</v>
      </c>
      <c r="D38" s="11" t="s">
        <v>20</v>
      </c>
      <c r="E38" s="10" t="s">
        <v>8</v>
      </c>
      <c r="F38" s="11" t="s">
        <v>137</v>
      </c>
      <c r="G38" s="10" t="s">
        <v>52</v>
      </c>
      <c r="H38" s="11"/>
    </row>
    <row r="39" customFormat="false" ht="48" hidden="false" customHeight="true" outlineLevel="0" collapsed="false">
      <c r="A39" s="10" t="n">
        <v>38</v>
      </c>
      <c r="B39" s="11" t="s">
        <v>138</v>
      </c>
      <c r="C39" s="11" t="s">
        <v>19</v>
      </c>
      <c r="D39" s="11" t="s">
        <v>19</v>
      </c>
      <c r="E39" s="10" t="s">
        <v>38</v>
      </c>
      <c r="F39" s="11" t="s">
        <v>139</v>
      </c>
      <c r="G39" s="10" t="s">
        <v>61</v>
      </c>
      <c r="H39" s="11"/>
    </row>
    <row r="40" customFormat="false" ht="48" hidden="false" customHeight="true" outlineLevel="0" collapsed="false">
      <c r="A40" s="10" t="n">
        <v>39</v>
      </c>
      <c r="B40" s="11" t="s">
        <v>140</v>
      </c>
      <c r="C40" s="11" t="s">
        <v>59</v>
      </c>
      <c r="D40" s="11" t="s">
        <v>67</v>
      </c>
      <c r="E40" s="10" t="s">
        <v>8</v>
      </c>
      <c r="F40" s="11" t="s">
        <v>141</v>
      </c>
      <c r="G40" s="10" t="s">
        <v>52</v>
      </c>
      <c r="H40" s="11"/>
    </row>
    <row r="41" customFormat="false" ht="48" hidden="false" customHeight="true" outlineLevel="0" collapsed="false">
      <c r="A41" s="10" t="n">
        <v>40</v>
      </c>
      <c r="B41" s="11" t="s">
        <v>142</v>
      </c>
      <c r="C41" s="11" t="s">
        <v>67</v>
      </c>
      <c r="D41" s="11" t="s">
        <v>67</v>
      </c>
      <c r="E41" s="10" t="s">
        <v>38</v>
      </c>
      <c r="F41" s="11" t="s">
        <v>143</v>
      </c>
      <c r="G41" s="10" t="s">
        <v>52</v>
      </c>
      <c r="H41" s="11"/>
    </row>
    <row r="42" customFormat="false" ht="48" hidden="false" customHeight="true" outlineLevel="0" collapsed="false">
      <c r="A42" s="10" t="n">
        <v>41</v>
      </c>
      <c r="B42" s="11" t="s">
        <v>144</v>
      </c>
      <c r="C42" s="11" t="s">
        <v>109</v>
      </c>
      <c r="D42" s="11" t="s">
        <v>21</v>
      </c>
      <c r="E42" s="10" t="s">
        <v>8</v>
      </c>
      <c r="F42" s="11" t="s">
        <v>145</v>
      </c>
      <c r="G42" s="10" t="s">
        <v>61</v>
      </c>
      <c r="H42" s="11"/>
    </row>
    <row r="43" customFormat="false" ht="48" hidden="false" customHeight="true" outlineLevel="0" collapsed="false">
      <c r="A43" s="10" t="n">
        <v>42</v>
      </c>
      <c r="B43" s="11" t="s">
        <v>146</v>
      </c>
      <c r="C43" s="11" t="s">
        <v>21</v>
      </c>
      <c r="D43" s="11" t="s">
        <v>22</v>
      </c>
      <c r="E43" s="10" t="s">
        <v>8</v>
      </c>
      <c r="F43" s="11" t="s">
        <v>147</v>
      </c>
      <c r="G43" s="10" t="s">
        <v>61</v>
      </c>
      <c r="H43" s="11"/>
    </row>
    <row r="44" customFormat="false" ht="48" hidden="false" customHeight="true" outlineLevel="0" collapsed="false">
      <c r="A44" s="10" t="n">
        <v>43</v>
      </c>
      <c r="B44" s="11" t="s">
        <v>148</v>
      </c>
      <c r="C44" s="11" t="s">
        <v>63</v>
      </c>
      <c r="D44" s="11" t="s">
        <v>109</v>
      </c>
      <c r="E44" s="10" t="s">
        <v>8</v>
      </c>
      <c r="F44" s="11" t="s">
        <v>149</v>
      </c>
      <c r="G44" s="10" t="s">
        <v>61</v>
      </c>
      <c r="H44" s="11" t="s">
        <v>150</v>
      </c>
    </row>
    <row r="45" customFormat="false" ht="48" hidden="false" customHeight="true" outlineLevel="0" collapsed="false">
      <c r="A45" s="10" t="n">
        <v>44</v>
      </c>
      <c r="B45" s="11" t="s">
        <v>151</v>
      </c>
      <c r="C45" s="11" t="s">
        <v>63</v>
      </c>
      <c r="D45" s="11" t="s">
        <v>22</v>
      </c>
      <c r="E45" s="10" t="s">
        <v>8</v>
      </c>
      <c r="F45" s="11" t="s">
        <v>152</v>
      </c>
      <c r="G45" s="10" t="s">
        <v>61</v>
      </c>
      <c r="H45" s="11"/>
    </row>
    <row r="46" customFormat="false" ht="48" hidden="false" customHeight="true" outlineLevel="0" collapsed="false">
      <c r="A46" s="10" t="n">
        <v>45</v>
      </c>
      <c r="B46" s="11" t="s">
        <v>153</v>
      </c>
      <c r="C46" s="11" t="s">
        <v>19</v>
      </c>
      <c r="D46" s="11" t="s">
        <v>22</v>
      </c>
      <c r="E46" s="10" t="s">
        <v>8</v>
      </c>
      <c r="F46" s="11" t="s">
        <v>154</v>
      </c>
      <c r="G46" s="10" t="s">
        <v>52</v>
      </c>
      <c r="H46" s="11" t="s">
        <v>65</v>
      </c>
    </row>
    <row r="47" customFormat="false" ht="48" hidden="false" customHeight="true" outlineLevel="0" collapsed="false">
      <c r="A47" s="10" t="n">
        <v>46</v>
      </c>
      <c r="B47" s="11" t="s">
        <v>155</v>
      </c>
      <c r="C47" s="11" t="s">
        <v>59</v>
      </c>
      <c r="D47" s="11" t="s">
        <v>67</v>
      </c>
      <c r="E47" s="10" t="s">
        <v>8</v>
      </c>
      <c r="F47" s="11" t="s">
        <v>156</v>
      </c>
      <c r="G47" s="10" t="s">
        <v>52</v>
      </c>
      <c r="H47" s="11"/>
    </row>
    <row r="48" customFormat="false" ht="48" hidden="false" customHeight="true" outlineLevel="0" collapsed="false">
      <c r="A48" s="10" t="n">
        <v>47</v>
      </c>
      <c r="B48" s="11" t="s">
        <v>157</v>
      </c>
      <c r="C48" s="11" t="s">
        <v>116</v>
      </c>
      <c r="D48" s="11" t="s">
        <v>67</v>
      </c>
      <c r="E48" s="10" t="s">
        <v>8</v>
      </c>
      <c r="F48" s="11" t="s">
        <v>158</v>
      </c>
      <c r="G48" s="10" t="s">
        <v>52</v>
      </c>
      <c r="H48" s="11"/>
    </row>
    <row r="49" customFormat="false" ht="48" hidden="false" customHeight="true" outlineLevel="0" collapsed="false">
      <c r="A49" s="10" t="n">
        <v>48</v>
      </c>
      <c r="B49" s="11" t="s">
        <v>159</v>
      </c>
      <c r="C49" s="11" t="s">
        <v>70</v>
      </c>
      <c r="D49" s="11" t="s">
        <v>116</v>
      </c>
      <c r="E49" s="10" t="s">
        <v>8</v>
      </c>
      <c r="F49" s="11" t="s">
        <v>160</v>
      </c>
      <c r="G49" s="10" t="s">
        <v>52</v>
      </c>
      <c r="H49" s="11"/>
    </row>
    <row r="50" customFormat="false" ht="48" hidden="false" customHeight="true" outlineLevel="0" collapsed="false">
      <c r="A50" s="10" t="n">
        <v>49</v>
      </c>
      <c r="B50" s="11" t="s">
        <v>161</v>
      </c>
      <c r="C50" s="11" t="s">
        <v>50</v>
      </c>
      <c r="D50" s="11" t="s">
        <v>20</v>
      </c>
      <c r="E50" s="10" t="s">
        <v>8</v>
      </c>
      <c r="F50" s="11" t="s">
        <v>162</v>
      </c>
      <c r="G50" s="10" t="s">
        <v>52</v>
      </c>
      <c r="H50" s="11"/>
    </row>
    <row r="51" customFormat="false" ht="48" hidden="false" customHeight="true" outlineLevel="0" collapsed="false">
      <c r="A51" s="10" t="n">
        <v>50</v>
      </c>
      <c r="B51" s="11" t="s">
        <v>163</v>
      </c>
      <c r="C51" s="11" t="s">
        <v>67</v>
      </c>
      <c r="D51" s="11" t="s">
        <v>67</v>
      </c>
      <c r="E51" s="10" t="s">
        <v>38</v>
      </c>
      <c r="F51" s="11" t="s">
        <v>164</v>
      </c>
      <c r="G51" s="10" t="s">
        <v>52</v>
      </c>
      <c r="H51" s="11"/>
    </row>
    <row r="52" customFormat="false" ht="48" hidden="false" customHeight="true" outlineLevel="0" collapsed="false">
      <c r="A52" s="10" t="n">
        <v>51</v>
      </c>
      <c r="B52" s="11" t="s">
        <v>165</v>
      </c>
      <c r="C52" s="11" t="s">
        <v>50</v>
      </c>
      <c r="D52" s="11" t="s">
        <v>50</v>
      </c>
      <c r="E52" s="10" t="s">
        <v>38</v>
      </c>
      <c r="F52" s="11" t="s">
        <v>166</v>
      </c>
      <c r="G52" s="10" t="s">
        <v>52</v>
      </c>
      <c r="H52" s="11"/>
    </row>
    <row r="53" customFormat="false" ht="48" hidden="false" customHeight="true" outlineLevel="0" collapsed="false">
      <c r="A53" s="10" t="n">
        <v>52</v>
      </c>
      <c r="B53" s="11" t="s">
        <v>167</v>
      </c>
      <c r="C53" s="11" t="s">
        <v>63</v>
      </c>
      <c r="D53" s="11" t="s">
        <v>20</v>
      </c>
      <c r="E53" s="10" t="s">
        <v>8</v>
      </c>
      <c r="F53" s="11" t="s">
        <v>168</v>
      </c>
      <c r="G53" s="10" t="s">
        <v>52</v>
      </c>
      <c r="H53" s="11"/>
    </row>
    <row r="54" customFormat="false" ht="48" hidden="false" customHeight="true" outlineLevel="0" collapsed="false">
      <c r="A54" s="10" t="n">
        <v>53</v>
      </c>
      <c r="B54" s="11" t="s">
        <v>169</v>
      </c>
      <c r="C54" s="11" t="s">
        <v>59</v>
      </c>
      <c r="D54" s="11" t="s">
        <v>20</v>
      </c>
      <c r="E54" s="10" t="s">
        <v>8</v>
      </c>
      <c r="F54" s="11" t="s">
        <v>170</v>
      </c>
      <c r="G54" s="10" t="s">
        <v>52</v>
      </c>
      <c r="H54" s="11"/>
    </row>
    <row r="55" customFormat="false" ht="48" hidden="false" customHeight="true" outlineLevel="0" collapsed="false">
      <c r="A55" s="10" t="n">
        <v>54</v>
      </c>
      <c r="B55" s="11" t="s">
        <v>171</v>
      </c>
      <c r="C55" s="11" t="s">
        <v>67</v>
      </c>
      <c r="D55" s="11" t="s">
        <v>67</v>
      </c>
      <c r="E55" s="10" t="s">
        <v>38</v>
      </c>
      <c r="F55" s="11" t="s">
        <v>172</v>
      </c>
      <c r="G55" s="10" t="s">
        <v>52</v>
      </c>
      <c r="H55" s="11"/>
    </row>
    <row r="56" customFormat="false" ht="48" hidden="false" customHeight="true" outlineLevel="0" collapsed="false">
      <c r="A56" s="10" t="n">
        <v>55</v>
      </c>
      <c r="B56" s="11" t="s">
        <v>173</v>
      </c>
      <c r="C56" s="11" t="s">
        <v>67</v>
      </c>
      <c r="D56" s="11" t="s">
        <v>67</v>
      </c>
      <c r="E56" s="10" t="s">
        <v>38</v>
      </c>
      <c r="F56" s="11" t="s">
        <v>174</v>
      </c>
      <c r="G56" s="10" t="s">
        <v>52</v>
      </c>
      <c r="H56" s="11"/>
    </row>
    <row r="57" customFormat="false" ht="48" hidden="false" customHeight="true" outlineLevel="0" collapsed="false">
      <c r="A57" s="10" t="n">
        <v>56</v>
      </c>
      <c r="B57" s="11" t="s">
        <v>175</v>
      </c>
      <c r="C57" s="11" t="s">
        <v>59</v>
      </c>
      <c r="D57" s="11" t="s">
        <v>67</v>
      </c>
      <c r="E57" s="10" t="s">
        <v>8</v>
      </c>
      <c r="F57" s="11" t="s">
        <v>176</v>
      </c>
      <c r="G57" s="10" t="s">
        <v>52</v>
      </c>
      <c r="H57" s="11"/>
    </row>
    <row r="58" customFormat="false" ht="48" hidden="false" customHeight="true" outlineLevel="0" collapsed="false">
      <c r="A58" s="10" t="n">
        <v>57</v>
      </c>
      <c r="B58" s="11" t="s">
        <v>177</v>
      </c>
      <c r="C58" s="11"/>
      <c r="D58" s="11" t="s">
        <v>21</v>
      </c>
      <c r="E58" s="10" t="s">
        <v>8</v>
      </c>
      <c r="F58" s="11" t="s">
        <v>178</v>
      </c>
      <c r="G58" s="10" t="s">
        <v>61</v>
      </c>
      <c r="H58" s="11"/>
    </row>
    <row r="59" customFormat="false" ht="48" hidden="false" customHeight="true" outlineLevel="0" collapsed="false">
      <c r="A59" s="10" t="n">
        <v>58</v>
      </c>
      <c r="B59" s="11" t="s">
        <v>179</v>
      </c>
      <c r="C59" s="11" t="s">
        <v>22</v>
      </c>
      <c r="D59" s="11" t="s">
        <v>89</v>
      </c>
      <c r="E59" s="10" t="s">
        <v>8</v>
      </c>
      <c r="F59" s="11" t="s">
        <v>180</v>
      </c>
      <c r="G59" s="10" t="s">
        <v>52</v>
      </c>
      <c r="H59" s="11"/>
    </row>
    <row r="60" customFormat="false" ht="15" hidden="false" customHeight="false" outlineLevel="0" collapsed="false">
      <c r="A60" s="1" t="n">
        <v>59</v>
      </c>
      <c r="B60" s="1" t="s">
        <v>181</v>
      </c>
      <c r="C60" s="1" t="s">
        <v>70</v>
      </c>
      <c r="D60" s="1" t="s">
        <v>70</v>
      </c>
      <c r="E60" s="1" t="s">
        <v>38</v>
      </c>
      <c r="F60" s="1" t="s">
        <v>182</v>
      </c>
      <c r="G60" s="1" t="s">
        <v>52</v>
      </c>
      <c r="H60" s="1" t="s">
        <v>183</v>
      </c>
    </row>
  </sheetData>
  <conditionalFormatting sqref="E2:E59">
    <cfRule type="expression" priority="2" aboveAverage="0" equalAverage="0" bottom="0" percent="0" rank="0" text="" dxfId="0">
      <formula>E2="Yes"</formula>
    </cfRule>
    <cfRule type="expression" priority="3" aboveAverage="0" equalAverage="0" bottom="0" percent="0" rank="0" text="" dxfId="1">
      <formula>E2="No"</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52"/>
    <col collapsed="false" customWidth="true" hidden="false" outlineLevel="0" max="3" min="3" style="1" width="28"/>
    <col collapsed="false" customWidth="true" hidden="false" outlineLevel="0" max="8" min="4" style="1" width="18"/>
  </cols>
  <sheetData>
    <row r="1" customFormat="false" ht="23.85" hidden="false" customHeight="false" outlineLevel="0" collapsed="false">
      <c r="A1" s="12" t="s">
        <v>42</v>
      </c>
      <c r="B1" s="12" t="s">
        <v>43</v>
      </c>
      <c r="C1" s="12" t="s">
        <v>184</v>
      </c>
      <c r="D1" s="12" t="s">
        <v>185</v>
      </c>
      <c r="E1" s="12" t="s">
        <v>186</v>
      </c>
      <c r="F1" s="12" t="s">
        <v>187</v>
      </c>
      <c r="G1" s="12" t="s">
        <v>188</v>
      </c>
      <c r="H1" s="12" t="s">
        <v>189</v>
      </c>
    </row>
    <row r="2" customFormat="false" ht="23.85" hidden="false" customHeight="false" outlineLevel="0" collapsed="false">
      <c r="A2" s="5" t="n">
        <v>1</v>
      </c>
      <c r="B2" s="5" t="str">
        <f aca="false">SLR_Extraction!B2</f>
        <v>Ahmad et al. - 2024 - MAC Protocol for Reducing Outage Probability in DECT-2020 New Radio</v>
      </c>
      <c r="C2" s="5" t="str">
        <f aca="false">SLR_Extraction!F2</f>
        <v>Simulation</v>
      </c>
      <c r="D2" s="5" t="s">
        <v>8</v>
      </c>
      <c r="E2" s="5" t="s">
        <v>8</v>
      </c>
      <c r="F2" s="5" t="s">
        <v>8</v>
      </c>
      <c r="G2" s="5" t="s">
        <v>8</v>
      </c>
      <c r="H2" s="5" t="s">
        <v>8</v>
      </c>
    </row>
    <row r="3" customFormat="false" ht="23.85" hidden="false" customHeight="false" outlineLevel="0" collapsed="false">
      <c r="A3" s="5" t="n">
        <v>2</v>
      </c>
      <c r="B3" s="5" t="str">
        <f aca="false">SLR_Extraction!B3</f>
        <v>Ahmad et al. - 2025 - MAC-Layer Protocol for Ultra-Reliable Multi-Hop Communication in DECT-2020 NR IIoT Networks</v>
      </c>
      <c r="C3" s="5" t="str">
        <f aca="false">SLR_Extraction!F3</f>
        <v>Simulation</v>
      </c>
      <c r="D3" s="5" t="s">
        <v>8</v>
      </c>
      <c r="E3" s="5" t="s">
        <v>8</v>
      </c>
      <c r="F3" s="5" t="s">
        <v>8</v>
      </c>
      <c r="G3" s="5" t="s">
        <v>8</v>
      </c>
      <c r="H3" s="5" t="s">
        <v>8</v>
      </c>
    </row>
    <row r="4" customFormat="false" ht="23.85" hidden="false" customHeight="false" outlineLevel="0" collapsed="false">
      <c r="A4" s="5" t="n">
        <v>3</v>
      </c>
      <c r="B4" s="5" t="str">
        <f aca="false">SLR_Extraction!B4</f>
        <v>Alam et al. - 2026 - DL Routing Performance in DECT-2020 NR Massive Mesh Networks</v>
      </c>
      <c r="C4" s="5" t="str">
        <f aca="false">SLR_Extraction!F4</f>
        <v>Simulation</v>
      </c>
      <c r="D4" s="5" t="s">
        <v>8</v>
      </c>
      <c r="E4" s="5" t="s">
        <v>8</v>
      </c>
      <c r="F4" s="5" t="s">
        <v>8</v>
      </c>
      <c r="G4" s="5" t="s">
        <v>8</v>
      </c>
      <c r="H4" s="5" t="s">
        <v>8</v>
      </c>
    </row>
    <row r="5" customFormat="false" ht="23.85" hidden="false" customHeight="false" outlineLevel="0" collapsed="false">
      <c r="A5" s="5" t="n">
        <v>4</v>
      </c>
      <c r="B5" s="5" t="str">
        <f aca="false">SLR_Extraction!B5</f>
        <v>Asif et al. - 2025 - URLLC-Based Multi-Hop Communication Using DECT-2020 NR</v>
      </c>
      <c r="C5" s="5" t="str">
        <f aca="false">SLR_Extraction!F5</f>
        <v>Analytical/Modeling</v>
      </c>
      <c r="D5" s="5" t="s">
        <v>8</v>
      </c>
      <c r="E5" s="5" t="s">
        <v>8</v>
      </c>
      <c r="F5" s="5" t="s">
        <v>8</v>
      </c>
      <c r="G5" s="5" t="s">
        <v>8</v>
      </c>
      <c r="H5" s="5" t="s">
        <v>8</v>
      </c>
    </row>
    <row r="6" customFormat="false" ht="23.85" hidden="false" customHeight="false" outlineLevel="0" collapsed="false">
      <c r="A6" s="5" t="n">
        <v>5</v>
      </c>
      <c r="B6" s="5" t="str">
        <f aca="false">SLR_Extraction!B6</f>
        <v>Atiq et al. - 2022 - When IEEE 802.11 and 5G Meet Time-Sensitive Networking</v>
      </c>
      <c r="C6" s="5" t="str">
        <f aca="false">SLR_Extraction!F6</f>
        <v>Survey/Overview</v>
      </c>
      <c r="D6" s="5" t="s">
        <v>8</v>
      </c>
      <c r="E6" s="5" t="s">
        <v>8</v>
      </c>
      <c r="F6" s="5" t="s">
        <v>8</v>
      </c>
      <c r="G6" s="5" t="s">
        <v>8</v>
      </c>
      <c r="H6" s="5" t="s">
        <v>8</v>
      </c>
    </row>
    <row r="7" customFormat="false" ht="35.05" hidden="false" customHeight="false" outlineLevel="0" collapsed="false">
      <c r="A7" s="5" t="n">
        <v>6</v>
      </c>
      <c r="B7" s="5" t="str">
        <f aca="false">SLR_Extraction!B7</f>
        <v>Baheti and Khunteta - 2026 - Priority-aware Radio Resource Scheduling for mMTC in 5G Networks -- Balancing Efficiency and Fairnes</v>
      </c>
      <c r="C7" s="5" t="str">
        <f aca="false">SLR_Extraction!F7</f>
        <v>Simulation; Analytical/Modeling</v>
      </c>
      <c r="D7" s="5" t="s">
        <v>8</v>
      </c>
      <c r="E7" s="5" t="s">
        <v>8</v>
      </c>
      <c r="F7" s="5" t="s">
        <v>8</v>
      </c>
      <c r="G7" s="5" t="s">
        <v>8</v>
      </c>
      <c r="H7" s="5" t="s">
        <v>8</v>
      </c>
    </row>
    <row r="8" customFormat="false" ht="23.85" hidden="false" customHeight="false" outlineLevel="0" collapsed="false">
      <c r="A8" s="5" t="n">
        <v>7</v>
      </c>
      <c r="B8" s="5" t="str">
        <f aca="false">SLR_Extraction!B8</f>
        <v>Bandara - 2025 - Experimental validation and analysis of the performance of DECT NR+ radio access technology</v>
      </c>
      <c r="C8" s="5" t="str">
        <f aca="false">SLR_Extraction!F8</f>
        <v>Experimental/Testbed</v>
      </c>
      <c r="D8" s="5" t="s">
        <v>8</v>
      </c>
      <c r="E8" s="5" t="s">
        <v>8</v>
      </c>
      <c r="F8" s="5" t="s">
        <v>8</v>
      </c>
      <c r="G8" s="5" t="s">
        <v>8</v>
      </c>
      <c r="H8" s="5" t="s">
        <v>8</v>
      </c>
    </row>
    <row r="9" customFormat="false" ht="23.85" hidden="false" customHeight="false" outlineLevel="0" collapsed="false">
      <c r="A9" s="5" t="n">
        <v>8</v>
      </c>
      <c r="B9" s="5" t="str">
        <f aca="false">SLR_Extraction!B9</f>
        <v>Bin Asif et al. - 2025 - IRS-Assisted DECT-2020 NR Framework for Ensuring URLLC Constraints in Industrial IoT</v>
      </c>
      <c r="C9" s="5" t="str">
        <f aca="false">SLR_Extraction!F9</f>
        <v>Analytical/Modeling</v>
      </c>
      <c r="D9" s="5" t="s">
        <v>8</v>
      </c>
      <c r="E9" s="5" t="s">
        <v>8</v>
      </c>
      <c r="F9" s="5" t="s">
        <v>8</v>
      </c>
      <c r="G9" s="5" t="s">
        <v>8</v>
      </c>
      <c r="H9" s="5" t="s">
        <v>8</v>
      </c>
    </row>
    <row r="10" customFormat="false" ht="35.05" hidden="false" customHeight="false" outlineLevel="0" collapsed="false">
      <c r="A10" s="5" t="n">
        <v>9</v>
      </c>
      <c r="B10" s="5" t="str">
        <f aca="false">SLR_Extraction!B10</f>
        <v>Biswas et al. - 2024 - Reliable and Low-Latency Communications for Critical Infrastructures Utilizing Wireless Mesh Network</v>
      </c>
      <c r="C10" s="5" t="str">
        <f aca="false">SLR_Extraction!F10</f>
        <v>Simulation</v>
      </c>
      <c r="D10" s="5" t="s">
        <v>8</v>
      </c>
      <c r="E10" s="5" t="s">
        <v>8</v>
      </c>
      <c r="F10" s="5" t="s">
        <v>8</v>
      </c>
      <c r="G10" s="5" t="s">
        <v>8</v>
      </c>
      <c r="H10" s="5" t="s">
        <v>8</v>
      </c>
    </row>
    <row r="11" customFormat="false" ht="35.05" hidden="false" customHeight="false" outlineLevel="0" collapsed="false">
      <c r="A11" s="5" t="n">
        <v>10</v>
      </c>
      <c r="B11" s="5" t="str">
        <f aca="false">SLR_Extraction!B11</f>
        <v>Biswas et al. - 2024 - Reliable and Low-Latency Communications for Critical Infrastructures Utilizing Wireless Mesh Networks</v>
      </c>
      <c r="C11" s="5" t="str">
        <f aca="false">SLR_Extraction!F11</f>
        <v>Simulation</v>
      </c>
      <c r="D11" s="5" t="s">
        <v>8</v>
      </c>
      <c r="E11" s="5" t="s">
        <v>8</v>
      </c>
      <c r="F11" s="5" t="s">
        <v>8</v>
      </c>
      <c r="G11" s="5" t="s">
        <v>8</v>
      </c>
      <c r="H11" s="5" t="s">
        <v>8</v>
      </c>
    </row>
    <row r="12" customFormat="false" ht="23.85" hidden="false" customHeight="false" outlineLevel="0" collapsed="false">
      <c r="A12" s="5" t="n">
        <v>11</v>
      </c>
      <c r="B12" s="5" t="str">
        <f aca="false">SLR_Extraction!B12</f>
        <v>Dang et al. - 2025 - EWDC Integrating DECT-2020 With Wi-Fi for Enhanced Wireless Direct Connectivity</v>
      </c>
      <c r="C12" s="5" t="str">
        <f aca="false">SLR_Extraction!F12</f>
        <v>Experimental/Testbed</v>
      </c>
      <c r="D12" s="5" t="s">
        <v>8</v>
      </c>
      <c r="E12" s="5" t="s">
        <v>8</v>
      </c>
      <c r="F12" s="5" t="s">
        <v>8</v>
      </c>
      <c r="G12" s="5" t="s">
        <v>8</v>
      </c>
      <c r="H12" s="5" t="s">
        <v>8</v>
      </c>
    </row>
    <row r="13" customFormat="false" ht="23.85" hidden="false" customHeight="false" outlineLevel="0" collapsed="false">
      <c r="A13" s="5" t="n">
        <v>12</v>
      </c>
      <c r="B13" s="5" t="str">
        <f aca="false">SLR_Extraction!B13</f>
        <v>Dang et al. - 2026 - Uni-RAT A Unified DECT-2020 NR and Wi-Fi System for 6G Multi-RAT Networks</v>
      </c>
      <c r="C13" s="5" t="str">
        <f aca="false">SLR_Extraction!F13</f>
        <v>Experimental/Testbed</v>
      </c>
      <c r="D13" s="5" t="s">
        <v>8</v>
      </c>
      <c r="E13" s="5" t="s">
        <v>8</v>
      </c>
      <c r="F13" s="5" t="s">
        <v>8</v>
      </c>
      <c r="G13" s="5" t="s">
        <v>8</v>
      </c>
      <c r="H13" s="5" t="s">
        <v>8</v>
      </c>
    </row>
    <row r="14" customFormat="false" ht="23.85" hidden="false" customHeight="false" outlineLevel="0" collapsed="false">
      <c r="A14" s="5" t="n">
        <v>13</v>
      </c>
      <c r="B14" s="5" t="str">
        <f aca="false">SLR_Extraction!B14</f>
        <v>Dhanwani et al. - 2020 - Assessment of Candidate Technology ETSI DECT-2020 New Radio</v>
      </c>
      <c r="C14" s="5" t="str">
        <f aca="false">SLR_Extraction!F14</f>
        <v>Analytical/Modeling</v>
      </c>
      <c r="D14" s="5" t="s">
        <v>8</v>
      </c>
      <c r="E14" s="5" t="s">
        <v>8</v>
      </c>
      <c r="F14" s="5" t="s">
        <v>8</v>
      </c>
      <c r="G14" s="5" t="s">
        <v>8</v>
      </c>
      <c r="H14" s="5" t="s">
        <v>8</v>
      </c>
    </row>
    <row r="15" customFormat="false" ht="23.85" hidden="false" customHeight="false" outlineLevel="0" collapsed="false">
      <c r="A15" s="5" t="n">
        <v>14</v>
      </c>
      <c r="B15" s="5" t="str">
        <f aca="false">SLR_Extraction!B15</f>
        <v>Dürre and Werner - 2024 - DECT-2020 NR for Professional Live Audio Design Space Exploration and Practical Evaluation</v>
      </c>
      <c r="C15" s="5" t="str">
        <f aca="false">SLR_Extraction!F15</f>
        <v>Experimental/Testbed</v>
      </c>
      <c r="D15" s="5" t="s">
        <v>8</v>
      </c>
      <c r="E15" s="5" t="s">
        <v>8</v>
      </c>
      <c r="F15" s="5" t="s">
        <v>8</v>
      </c>
      <c r="G15" s="5" t="s">
        <v>8</v>
      </c>
      <c r="H15" s="5" t="s">
        <v>8</v>
      </c>
    </row>
    <row r="16" customFormat="false" ht="23.85" hidden="false" customHeight="false" outlineLevel="0" collapsed="false">
      <c r="A16" s="5" t="n">
        <v>15</v>
      </c>
      <c r="B16" s="5" t="str">
        <f aca="false">SLR_Extraction!B16</f>
        <v>Fagerholm - 2024 - FPGA-based DECT-2020 New Radio packet detection</v>
      </c>
      <c r="C16" s="5" t="str">
        <f aca="false">SLR_Extraction!F16</f>
        <v>Simulation</v>
      </c>
      <c r="D16" s="5" t="s">
        <v>8</v>
      </c>
      <c r="E16" s="5" t="s">
        <v>8</v>
      </c>
      <c r="F16" s="5" t="s">
        <v>8</v>
      </c>
      <c r="G16" s="5" t="s">
        <v>8</v>
      </c>
      <c r="H16" s="5" t="s">
        <v>8</v>
      </c>
    </row>
    <row r="17" customFormat="false" ht="23.85" hidden="false" customHeight="false" outlineLevel="0" collapsed="false">
      <c r="A17" s="5" t="n">
        <v>16</v>
      </c>
      <c r="B17" s="5" t="str">
        <f aca="false">SLR_Extraction!B17</f>
        <v>Fedrecheski et al. - 2026 - Mari Responsive Wireless Communication for Low-Power Large-Scale Robot Swarms</v>
      </c>
      <c r="C17" s="5" t="str">
        <f aca="false">SLR_Extraction!F17</f>
        <v>Simulation; Experimental/Testbed</v>
      </c>
      <c r="D17" s="5" t="s">
        <v>8</v>
      </c>
      <c r="E17" s="5" t="s">
        <v>8</v>
      </c>
      <c r="F17" s="5" t="s">
        <v>8</v>
      </c>
      <c r="G17" s="5" t="s">
        <v>8</v>
      </c>
      <c r="H17" s="5" t="s">
        <v>8</v>
      </c>
    </row>
    <row r="18" customFormat="false" ht="23.85" hidden="false" customHeight="false" outlineLevel="0" collapsed="false">
      <c r="A18" s="5" t="n">
        <v>17</v>
      </c>
      <c r="B18" s="5" t="str">
        <f aca="false">SLR_Extraction!B18</f>
        <v>Führling et al. - 2025 - A Robust Routing Protocol for 5G Mesh Networks</v>
      </c>
      <c r="C18" s="5" t="str">
        <f aca="false">SLR_Extraction!F18</f>
        <v>Simulation; Analytical/Modeling</v>
      </c>
      <c r="D18" s="5" t="s">
        <v>8</v>
      </c>
      <c r="E18" s="5" t="s">
        <v>8</v>
      </c>
      <c r="F18" s="5" t="s">
        <v>8</v>
      </c>
      <c r="G18" s="5" t="s">
        <v>8</v>
      </c>
      <c r="H18" s="5" t="s">
        <v>8</v>
      </c>
    </row>
    <row r="19" customFormat="false" ht="23.85" hidden="false" customHeight="false" outlineLevel="0" collapsed="false">
      <c r="A19" s="5" t="n">
        <v>18</v>
      </c>
      <c r="B19" s="5" t="str">
        <f aca="false">SLR_Extraction!B19</f>
        <v>Gaidamaka et al. - 2025 - Optimizing Delays in Random Access Procedure of DECT-2020 by Estimation of Device States</v>
      </c>
      <c r="C19" s="5" t="str">
        <f aca="false">SLR_Extraction!F19</f>
        <v>Analytical/Modeling</v>
      </c>
      <c r="D19" s="5" t="s">
        <v>8</v>
      </c>
      <c r="E19" s="5" t="s">
        <v>8</v>
      </c>
      <c r="F19" s="5" t="s">
        <v>8</v>
      </c>
      <c r="G19" s="5" t="s">
        <v>8</v>
      </c>
      <c r="H19" s="5" t="s">
        <v>8</v>
      </c>
    </row>
    <row r="20" customFormat="false" ht="35.05" hidden="false" customHeight="false" outlineLevel="0" collapsed="false">
      <c r="A20" s="5" t="n">
        <v>19</v>
      </c>
      <c r="B20" s="5" t="str">
        <f aca="false">SLR_Extraction!B20</f>
        <v>Glazkov et al. - 2025 - Improving Near-URLLC Services Performance Over Multi-Hop Topologies in DECT-2020 NR Systems</v>
      </c>
      <c r="C20" s="5" t="str">
        <f aca="false">SLR_Extraction!F20</f>
        <v>Simulation</v>
      </c>
      <c r="D20" s="5" t="s">
        <v>8</v>
      </c>
      <c r="E20" s="5" t="s">
        <v>8</v>
      </c>
      <c r="F20" s="5" t="s">
        <v>8</v>
      </c>
      <c r="G20" s="5" t="s">
        <v>8</v>
      </c>
      <c r="H20" s="5" t="s">
        <v>8</v>
      </c>
    </row>
    <row r="21" customFormat="false" ht="23.85" hidden="false" customHeight="false" outlineLevel="0" collapsed="false">
      <c r="A21" s="5" t="n">
        <v>20</v>
      </c>
      <c r="B21" s="5" t="str">
        <f aca="false">SLR_Extraction!B21</f>
        <v>Graf et al. - 2026 - A Pareto Optimality Approach for Link Adaptation in DECT NR+</v>
      </c>
      <c r="C21" s="5" t="str">
        <f aca="false">SLR_Extraction!F21</f>
        <v>Experimental/Testbed; Analytical/Modeling</v>
      </c>
      <c r="D21" s="5" t="s">
        <v>8</v>
      </c>
      <c r="E21" s="5" t="s">
        <v>8</v>
      </c>
      <c r="F21" s="5" t="s">
        <v>8</v>
      </c>
      <c r="G21" s="5" t="s">
        <v>8</v>
      </c>
      <c r="H21" s="5" t="s">
        <v>8</v>
      </c>
    </row>
    <row r="22" customFormat="false" ht="23.85" hidden="false" customHeight="false" outlineLevel="0" collapsed="false">
      <c r="A22" s="5" t="n">
        <v>21</v>
      </c>
      <c r="B22" s="5" t="str">
        <f aca="false">SLR_Extraction!B22</f>
        <v>Graf et al. - 2026 - What to Expect When Using DECT NR+</v>
      </c>
      <c r="C22" s="5" t="str">
        <f aca="false">SLR_Extraction!F22</f>
        <v>Experimental/Testbed; Survey/Overview</v>
      </c>
      <c r="D22" s="5" t="s">
        <v>8</v>
      </c>
      <c r="E22" s="5" t="s">
        <v>8</v>
      </c>
      <c r="F22" s="5" t="s">
        <v>8</v>
      </c>
      <c r="G22" s="5" t="s">
        <v>8</v>
      </c>
      <c r="H22" s="5" t="s">
        <v>8</v>
      </c>
    </row>
    <row r="23" customFormat="false" ht="35.05" hidden="false" customHeight="false" outlineLevel="0" collapsed="false">
      <c r="A23" s="5" t="n">
        <v>22</v>
      </c>
      <c r="B23" s="5" t="str">
        <f aca="false">SLR_Extraction!B23</f>
        <v>Haque et al. - 2025 - DECT-2020 NR Link Distance Performance in Varying Environments Models and Measurements</v>
      </c>
      <c r="C23" s="5" t="str">
        <f aca="false">SLR_Extraction!F23</f>
        <v>Experimental/Testbed; Analytical/Modeling</v>
      </c>
      <c r="D23" s="5" t="s">
        <v>8</v>
      </c>
      <c r="E23" s="5" t="s">
        <v>8</v>
      </c>
      <c r="F23" s="5" t="s">
        <v>8</v>
      </c>
      <c r="G23" s="5" t="s">
        <v>8</v>
      </c>
      <c r="H23" s="5" t="s">
        <v>8</v>
      </c>
    </row>
    <row r="24" customFormat="false" ht="23.85" hidden="false" customHeight="false" outlineLevel="0" collapsed="false">
      <c r="A24" s="5" t="n">
        <v>23</v>
      </c>
      <c r="B24" s="5" t="str">
        <f aca="false">SLR_Extraction!B24</f>
        <v>Jahangir - 2024 - Analysis of the performance of DECT NR+ radio access technology for the connectivity of unmanned aer</v>
      </c>
      <c r="C24" s="5" t="str">
        <f aca="false">SLR_Extraction!F24</f>
        <v>Simulation; Analytical/Modeling</v>
      </c>
      <c r="D24" s="5" t="s">
        <v>8</v>
      </c>
      <c r="E24" s="5" t="s">
        <v>8</v>
      </c>
      <c r="F24" s="5" t="s">
        <v>8</v>
      </c>
      <c r="G24" s="5" t="s">
        <v>8</v>
      </c>
      <c r="H24" s="5" t="s">
        <v>8</v>
      </c>
    </row>
    <row r="25" customFormat="false" ht="23.85" hidden="false" customHeight="false" outlineLevel="0" collapsed="false">
      <c r="A25" s="5" t="n">
        <v>24</v>
      </c>
      <c r="B25" s="5" t="str">
        <f aca="false">SLR_Extraction!B25</f>
        <v>Khalili et al. - Bridging Light and Radio Hybrid Network Architectures for IoT in the 6G Era</v>
      </c>
      <c r="C25" s="5" t="str">
        <f aca="false">SLR_Extraction!F25</f>
        <v>Analytical/Modeling; Survey/Overview</v>
      </c>
      <c r="D25" s="5" t="s">
        <v>8</v>
      </c>
      <c r="E25" s="5" t="s">
        <v>8</v>
      </c>
      <c r="F25" s="5" t="s">
        <v>8</v>
      </c>
      <c r="G25" s="5" t="s">
        <v>8</v>
      </c>
      <c r="H25" s="5" t="s">
        <v>8</v>
      </c>
    </row>
    <row r="26" customFormat="false" ht="23.85" hidden="false" customHeight="false" outlineLevel="0" collapsed="false">
      <c r="A26" s="5" t="n">
        <v>25</v>
      </c>
      <c r="B26" s="5" t="str">
        <f aca="false">SLR_Extraction!B26</f>
        <v>Kizilirmak and Askarov - 2024 - Examination of PHY Layer Features in DECT-2020 and LTE-M Networks</v>
      </c>
      <c r="C26" s="5" t="str">
        <f aca="false">SLR_Extraction!F26</f>
        <v>Analytical/Modeling</v>
      </c>
      <c r="D26" s="5" t="s">
        <v>8</v>
      </c>
      <c r="E26" s="5" t="s">
        <v>8</v>
      </c>
      <c r="F26" s="5" t="s">
        <v>8</v>
      </c>
      <c r="G26" s="5" t="s">
        <v>8</v>
      </c>
      <c r="H26" s="5" t="s">
        <v>8</v>
      </c>
    </row>
    <row r="27" customFormat="false" ht="23.85" hidden="false" customHeight="false" outlineLevel="0" collapsed="false">
      <c r="A27" s="5" t="n">
        <v>26</v>
      </c>
      <c r="B27" s="5" t="str">
        <f aca="false">SLR_Extraction!B27</f>
        <v>Kovalchukov et al. - 2022 - DECT-2020 New Radio The Next Step toward 5G Massive Machine-Type Communications</v>
      </c>
      <c r="C27" s="5" t="str">
        <f aca="false">SLR_Extraction!F27</f>
        <v>Simulation; Survey/Overview</v>
      </c>
      <c r="D27" s="5" t="s">
        <v>8</v>
      </c>
      <c r="E27" s="5" t="s">
        <v>8</v>
      </c>
      <c r="F27" s="5" t="s">
        <v>8</v>
      </c>
      <c r="G27" s="5" t="s">
        <v>8</v>
      </c>
      <c r="H27" s="5" t="s">
        <v>8</v>
      </c>
    </row>
    <row r="28" customFormat="false" ht="23.85" hidden="false" customHeight="false" outlineLevel="0" collapsed="false">
      <c r="A28" s="5" t="n">
        <v>27</v>
      </c>
      <c r="B28" s="5" t="str">
        <f aca="false">SLR_Extraction!B28</f>
        <v>Leugner and Hellbrueck - 2025 - An Alternative to SubGHz for LPWAN</v>
      </c>
      <c r="C28" s="5" t="str">
        <f aca="false">SLR_Extraction!F28</f>
        <v>Experimental/Testbed; Analytical/Modeling</v>
      </c>
      <c r="D28" s="5" t="s">
        <v>8</v>
      </c>
      <c r="E28" s="5" t="s">
        <v>8</v>
      </c>
      <c r="F28" s="5" t="s">
        <v>8</v>
      </c>
      <c r="G28" s="5" t="s">
        <v>8</v>
      </c>
      <c r="H28" s="5" t="s">
        <v>8</v>
      </c>
    </row>
    <row r="29" customFormat="false" ht="23.85" hidden="false" customHeight="false" outlineLevel="0" collapsed="false">
      <c r="A29" s="5" t="n">
        <v>28</v>
      </c>
      <c r="B29" s="5" t="str">
        <f aca="false">SLR_Extraction!B29</f>
        <v>Liao et al. - 2025 - Data Assisted Backscatter Communications Using DECT-2020 NR+ as Ambient Signal</v>
      </c>
      <c r="C29" s="5" t="str">
        <f aca="false">SLR_Extraction!F29</f>
        <v>Experimental/Testbed</v>
      </c>
      <c r="D29" s="5" t="s">
        <v>8</v>
      </c>
      <c r="E29" s="5" t="s">
        <v>8</v>
      </c>
      <c r="F29" s="5" t="s">
        <v>8</v>
      </c>
      <c r="G29" s="5" t="s">
        <v>8</v>
      </c>
      <c r="H29" s="5" t="s">
        <v>8</v>
      </c>
    </row>
    <row r="30" customFormat="false" ht="35.05" hidden="false" customHeight="false" outlineLevel="0" collapsed="false">
      <c r="A30" s="5" t="n">
        <v>29</v>
      </c>
      <c r="B30" s="5" t="str">
        <f aca="false">SLR_Extraction!B30</f>
        <v>Liu et al. - 2025 - Data-Aided Channel Estimation for Robust DECT-2020 NR+ Links in Oil and Gas Equipment Data Communica</v>
      </c>
      <c r="C30" s="5" t="str">
        <f aca="false">SLR_Extraction!F30</f>
        <v>Simulation; Experimental/Testbed</v>
      </c>
      <c r="D30" s="5" t="s">
        <v>8</v>
      </c>
      <c r="E30" s="5" t="s">
        <v>8</v>
      </c>
      <c r="F30" s="5" t="s">
        <v>8</v>
      </c>
      <c r="G30" s="5" t="s">
        <v>8</v>
      </c>
      <c r="H30" s="5" t="s">
        <v>8</v>
      </c>
    </row>
    <row r="31" customFormat="false" ht="23.85" hidden="false" customHeight="false" outlineLevel="0" collapsed="false">
      <c r="A31" s="5" t="n">
        <v>30</v>
      </c>
      <c r="B31" s="5" t="str">
        <f aca="false">SLR_Extraction!B31</f>
        <v>Llaguno et al. - 2024 - Physical Layer Performance of DECT-2020 New Radio for Factory Automation</v>
      </c>
      <c r="C31" s="5" t="str">
        <f aca="false">SLR_Extraction!F31</f>
        <v>Simulation</v>
      </c>
      <c r="D31" s="5" t="s">
        <v>8</v>
      </c>
      <c r="E31" s="5" t="s">
        <v>8</v>
      </c>
      <c r="F31" s="5" t="s">
        <v>8</v>
      </c>
      <c r="G31" s="5" t="s">
        <v>8</v>
      </c>
      <c r="H31" s="5" t="s">
        <v>8</v>
      </c>
    </row>
    <row r="32" customFormat="false" ht="23.85" hidden="false" customHeight="false" outlineLevel="0" collapsed="false">
      <c r="A32" s="5" t="n">
        <v>31</v>
      </c>
      <c r="B32" s="5" t="str">
        <f aca="false">SLR_Extraction!B32</f>
        <v>Maliatsos et al. - 2022 - Evaluation of the IMT-2020 Candidate Radio Interface Technology DECT-2020 NR</v>
      </c>
      <c r="C32" s="5" t="str">
        <f aca="false">SLR_Extraction!F32</f>
        <v>Simulation; Analytical/Modeling; Survey/Overview</v>
      </c>
      <c r="D32" s="5" t="s">
        <v>8</v>
      </c>
      <c r="E32" s="5" t="s">
        <v>8</v>
      </c>
      <c r="F32" s="5" t="s">
        <v>8</v>
      </c>
      <c r="G32" s="5" t="s">
        <v>8</v>
      </c>
      <c r="H32" s="5" t="s">
        <v>8</v>
      </c>
    </row>
    <row r="33" customFormat="false" ht="23.85" hidden="false" customHeight="false" outlineLevel="0" collapsed="false">
      <c r="A33" s="5" t="n">
        <v>32</v>
      </c>
      <c r="B33" s="5" t="str">
        <f aca="false">SLR_Extraction!B33</f>
        <v>Montalvo et al. - 2024 - DECT Evolution towards Meeting the Requirements for IMT-2020 in the Residential Environment</v>
      </c>
      <c r="C33" s="5" t="str">
        <f aca="false">SLR_Extraction!F33</f>
        <v>Analytical/Modeling; Survey/Overview</v>
      </c>
      <c r="D33" s="5" t="s">
        <v>8</v>
      </c>
      <c r="E33" s="5" t="s">
        <v>8</v>
      </c>
      <c r="F33" s="5" t="s">
        <v>8</v>
      </c>
      <c r="G33" s="5" t="s">
        <v>8</v>
      </c>
      <c r="H33" s="5" t="s">
        <v>8</v>
      </c>
    </row>
    <row r="34" customFormat="false" ht="35.05" hidden="false" customHeight="false" outlineLevel="0" collapsed="false">
      <c r="A34" s="5" t="n">
        <v>33</v>
      </c>
      <c r="B34" s="5" t="str">
        <f aca="false">SLR_Extraction!B34</f>
        <v>Morozova et al. - 2026 - Comparison of Two Models with Non-ordinary Arrival Process to Analyze the Cluster of the DECT-2020 N</v>
      </c>
      <c r="C34" s="5" t="str">
        <f aca="false">SLR_Extraction!F34</f>
        <v>Analytical/Modeling</v>
      </c>
      <c r="D34" s="5" t="s">
        <v>8</v>
      </c>
      <c r="E34" s="5" t="s">
        <v>8</v>
      </c>
      <c r="F34" s="5" t="s">
        <v>8</v>
      </c>
      <c r="G34" s="5" t="s">
        <v>8</v>
      </c>
      <c r="H34" s="5" t="s">
        <v>8</v>
      </c>
    </row>
    <row r="35" customFormat="false" ht="23.85" hidden="false" customHeight="false" outlineLevel="0" collapsed="false">
      <c r="A35" s="5" t="n">
        <v>34</v>
      </c>
      <c r="B35" s="5" t="str">
        <f aca="false">SLR_Extraction!B35</f>
        <v>Mudriievskyi et al. - 2024 - CHEAP 5G DECT NR+ for Tactile Internet With Human In The Loop Application</v>
      </c>
      <c r="C35" s="5" t="str">
        <f aca="false">SLR_Extraction!F35</f>
        <v>Experimental/Testbed</v>
      </c>
      <c r="D35" s="5" t="s">
        <v>8</v>
      </c>
      <c r="E35" s="5" t="s">
        <v>8</v>
      </c>
      <c r="F35" s="5" t="s">
        <v>8</v>
      </c>
      <c r="G35" s="5" t="s">
        <v>8</v>
      </c>
      <c r="H35" s="5" t="s">
        <v>8</v>
      </c>
    </row>
    <row r="36" customFormat="false" ht="15" hidden="false" customHeight="false" outlineLevel="0" collapsed="false">
      <c r="A36" s="5" t="n">
        <v>35</v>
      </c>
      <c r="B36" s="5" t="str">
        <f aca="false">SLR_Extraction!B36</f>
        <v>Ngo - 2025 - IoT device authentication in 5G networks</v>
      </c>
      <c r="C36" s="5" t="str">
        <f aca="false">SLR_Extraction!F36</f>
        <v>Experimental/Testbed</v>
      </c>
      <c r="D36" s="5" t="s">
        <v>8</v>
      </c>
      <c r="E36" s="5" t="s">
        <v>8</v>
      </c>
      <c r="F36" s="5" t="s">
        <v>8</v>
      </c>
      <c r="G36" s="5" t="s">
        <v>8</v>
      </c>
      <c r="H36" s="5" t="s">
        <v>8</v>
      </c>
    </row>
    <row r="37" customFormat="false" ht="23.85" hidden="false" customHeight="false" outlineLevel="0" collapsed="false">
      <c r="A37" s="5" t="n">
        <v>36</v>
      </c>
      <c r="B37" s="5" t="str">
        <f aca="false">SLR_Extraction!B37</f>
        <v>Nihtila and Berg - 2022 - Energy Consumption of DECT-2020 NR Mesh Networks</v>
      </c>
      <c r="C37" s="5" t="str">
        <f aca="false">SLR_Extraction!F37</f>
        <v>Simulation</v>
      </c>
      <c r="D37" s="5" t="s">
        <v>8</v>
      </c>
      <c r="E37" s="5" t="s">
        <v>8</v>
      </c>
      <c r="F37" s="5" t="s">
        <v>8</v>
      </c>
      <c r="G37" s="5" t="s">
        <v>8</v>
      </c>
      <c r="H37" s="5" t="s">
        <v>8</v>
      </c>
    </row>
    <row r="38" customFormat="false" ht="23.85" hidden="false" customHeight="false" outlineLevel="0" collapsed="false">
      <c r="A38" s="5" t="n">
        <v>37</v>
      </c>
      <c r="B38" s="5" t="str">
        <f aca="false">SLR_Extraction!B38</f>
        <v>Nihtila and Taipale - 2022 - Energy Saving Router Rotation Protocol for DECT-2020 NR</v>
      </c>
      <c r="C38" s="5" t="str">
        <f aca="false">SLR_Extraction!F38</f>
        <v>Simulation</v>
      </c>
      <c r="D38" s="5" t="s">
        <v>8</v>
      </c>
      <c r="E38" s="5" t="s">
        <v>8</v>
      </c>
      <c r="F38" s="5" t="s">
        <v>8</v>
      </c>
      <c r="G38" s="5" t="s">
        <v>8</v>
      </c>
      <c r="H38" s="5" t="s">
        <v>8</v>
      </c>
    </row>
    <row r="39" customFormat="false" ht="35.05" hidden="false" customHeight="false" outlineLevel="0" collapsed="false">
      <c r="A39" s="5" t="n">
        <v>38</v>
      </c>
      <c r="B39" s="5" t="str">
        <f aca="false">SLR_Extraction!B39</f>
        <v>Nikolaev et al. - 2026 - Modeling DECT-2020 as a Tandem Queueing System and Its Application to the Peak Age of Information An</v>
      </c>
      <c r="C39" s="5" t="str">
        <f aca="false">SLR_Extraction!F39</f>
        <v>Analytical/Modeling</v>
      </c>
      <c r="D39" s="5" t="s">
        <v>8</v>
      </c>
      <c r="E39" s="5" t="s">
        <v>8</v>
      </c>
      <c r="F39" s="5" t="s">
        <v>8</v>
      </c>
      <c r="G39" s="5" t="s">
        <v>8</v>
      </c>
      <c r="H39" s="5" t="s">
        <v>8</v>
      </c>
    </row>
    <row r="40" customFormat="false" ht="23.85" hidden="false" customHeight="false" outlineLevel="0" collapsed="false">
      <c r="A40" s="5" t="n">
        <v>39</v>
      </c>
      <c r="B40" s="5" t="str">
        <f aca="false">SLR_Extraction!B40</f>
        <v>Penner et al. - 2021 - Link-Level Performance Evaluation of IMT-2020 Candidate Technology DECT-2020 New Radio</v>
      </c>
      <c r="C40" s="5" t="str">
        <f aca="false">SLR_Extraction!F40</f>
        <v>Simulation; Analytical/Modeling</v>
      </c>
      <c r="D40" s="5" t="s">
        <v>8</v>
      </c>
      <c r="E40" s="5" t="s">
        <v>8</v>
      </c>
      <c r="F40" s="5" t="s">
        <v>8</v>
      </c>
      <c r="G40" s="5" t="s">
        <v>8</v>
      </c>
      <c r="H40" s="5" t="s">
        <v>8</v>
      </c>
    </row>
    <row r="41" customFormat="false" ht="23.85" hidden="false" customHeight="false" outlineLevel="0" collapsed="false">
      <c r="A41" s="5" t="n">
        <v>40</v>
      </c>
      <c r="B41" s="5" t="str">
        <f aca="false">SLR_Extraction!B41</f>
        <v>Penner et al. - 2021 - URLLC Performance Evaluation of IMT-2020 Candidate Technology DECT-2020 New Radio</v>
      </c>
      <c r="C41" s="5" t="str">
        <f aca="false">SLR_Extraction!F41</f>
        <v>Simulation; Analytical/Modeling</v>
      </c>
      <c r="D41" s="5" t="s">
        <v>8</v>
      </c>
      <c r="E41" s="5" t="s">
        <v>8</v>
      </c>
      <c r="F41" s="5" t="s">
        <v>8</v>
      </c>
      <c r="G41" s="5" t="s">
        <v>8</v>
      </c>
      <c r="H41" s="5" t="s">
        <v>8</v>
      </c>
    </row>
    <row r="42" customFormat="false" ht="23.85" hidden="false" customHeight="false" outlineLevel="0" collapsed="false">
      <c r="A42" s="5" t="n">
        <v>41</v>
      </c>
      <c r="B42" s="5" t="str">
        <f aca="false">SLR_Extraction!B42</f>
        <v>Perez-Guirao et al. - 2022 - DECT NR+Unveiling the Essentials of a new non-cellular 5G Standard for Verticals</v>
      </c>
      <c r="C42" s="5" t="str">
        <f aca="false">SLR_Extraction!F42</f>
        <v>Survey/Overview</v>
      </c>
      <c r="D42" s="5" t="s">
        <v>8</v>
      </c>
      <c r="E42" s="5" t="s">
        <v>8</v>
      </c>
      <c r="F42" s="5" t="s">
        <v>8</v>
      </c>
      <c r="G42" s="5" t="s">
        <v>8</v>
      </c>
      <c r="H42" s="5" t="s">
        <v>8</v>
      </c>
    </row>
    <row r="43" customFormat="false" ht="23.85" hidden="false" customHeight="false" outlineLevel="0" collapsed="false">
      <c r="A43" s="5" t="n">
        <v>42</v>
      </c>
      <c r="B43" s="5" t="str">
        <f aca="false">SLR_Extraction!B43</f>
        <v>Pires et al. - 2026 - DECT-2020 NR for Energy and Power Grid Substation QoS Monitoring Use Cases</v>
      </c>
      <c r="C43" s="5" t="str">
        <f aca="false">SLR_Extraction!F43</f>
        <v>Experimental/Testbed</v>
      </c>
      <c r="D43" s="5" t="s">
        <v>8</v>
      </c>
      <c r="E43" s="5" t="s">
        <v>8</v>
      </c>
      <c r="F43" s="5" t="s">
        <v>8</v>
      </c>
      <c r="G43" s="5" t="s">
        <v>8</v>
      </c>
      <c r="H43" s="5" t="s">
        <v>8</v>
      </c>
    </row>
    <row r="44" customFormat="false" ht="23.85" hidden="false" customHeight="false" outlineLevel="0" collapsed="false">
      <c r="A44" s="5" t="n">
        <v>43</v>
      </c>
      <c r="B44" s="5" t="str">
        <f aca="false">SLR_Extraction!B44</f>
        <v>Poets and WaÃ - 2024 - DECT NR+ A new radio standard to benefit professional audio applications</v>
      </c>
      <c r="C44" s="5" t="str">
        <f aca="false">SLR_Extraction!F44</f>
        <v>Analytical/Modeling; Survey/Overview</v>
      </c>
      <c r="D44" s="5" t="s">
        <v>8</v>
      </c>
      <c r="E44" s="5" t="s">
        <v>8</v>
      </c>
      <c r="F44" s="5" t="s">
        <v>8</v>
      </c>
      <c r="G44" s="5" t="s">
        <v>8</v>
      </c>
      <c r="H44" s="5" t="s">
        <v>8</v>
      </c>
    </row>
    <row r="45" customFormat="false" ht="23.85" hidden="false" customHeight="false" outlineLevel="0" collapsed="false">
      <c r="A45" s="5" t="n">
        <v>44</v>
      </c>
      <c r="B45" s="5" t="str">
        <f aca="false">SLR_Extraction!B45</f>
        <v>Poets et al. - 2025 - Professional Networked Audio over DECT NR+ Feasibility and Performance</v>
      </c>
      <c r="C45" s="5" t="str">
        <f aca="false">SLR_Extraction!F45</f>
        <v>Experimental/Testbed</v>
      </c>
      <c r="D45" s="5" t="s">
        <v>8</v>
      </c>
      <c r="E45" s="5" t="s">
        <v>8</v>
      </c>
      <c r="F45" s="5" t="s">
        <v>8</v>
      </c>
      <c r="G45" s="5" t="s">
        <v>8</v>
      </c>
      <c r="H45" s="5" t="s">
        <v>8</v>
      </c>
    </row>
    <row r="46" customFormat="false" ht="35.05" hidden="false" customHeight="false" outlineLevel="0" collapsed="false">
      <c r="A46" s="5" t="n">
        <v>45</v>
      </c>
      <c r="B46" s="5" t="str">
        <f aca="false">SLR_Extraction!B46</f>
        <v>Raftopoulou et al. - 2025 - Deployment and Performance Evaluation of 5G Private Networks, Enabling Use Cases in Rural Remote Are</v>
      </c>
      <c r="C46" s="5" t="str">
        <f aca="false">SLR_Extraction!F46</f>
        <v>Experimental/Testbed</v>
      </c>
      <c r="D46" s="5" t="s">
        <v>8</v>
      </c>
      <c r="E46" s="5" t="s">
        <v>8</v>
      </c>
      <c r="F46" s="5" t="s">
        <v>8</v>
      </c>
      <c r="G46" s="5" t="s">
        <v>8</v>
      </c>
      <c r="H46" s="5" t="s">
        <v>8</v>
      </c>
    </row>
    <row r="47" customFormat="false" ht="35.05" hidden="false" customHeight="false" outlineLevel="0" collapsed="false">
      <c r="A47" s="5" t="n">
        <v>46</v>
      </c>
      <c r="B47" s="5" t="str">
        <f aca="false">SLR_Extraction!B47</f>
        <v>Rauwolf et al. - 2026 - Topology-Aware Deep Reinforcement Learning for Multi-Hop URLLC in DECT-2020 NR Mesh Networks</v>
      </c>
      <c r="C47" s="5" t="str">
        <f aca="false">SLR_Extraction!F47</f>
        <v>Simulation; Analytical/Modeling</v>
      </c>
      <c r="D47" s="5" t="s">
        <v>8</v>
      </c>
      <c r="E47" s="5" t="s">
        <v>8</v>
      </c>
      <c r="F47" s="5" t="s">
        <v>8</v>
      </c>
      <c r="G47" s="5" t="s">
        <v>8</v>
      </c>
      <c r="H47" s="5" t="s">
        <v>8</v>
      </c>
    </row>
    <row r="48" customFormat="false" ht="23.85" hidden="false" customHeight="false" outlineLevel="0" collapsed="false">
      <c r="A48" s="5" t="n">
        <v>47</v>
      </c>
      <c r="B48" s="5" t="str">
        <f aca="false">SLR_Extraction!B48</f>
        <v>Saikko et al. - 2024 - Positioning in DECT-2020 NR with Proactive Measurement Selection</v>
      </c>
      <c r="C48" s="5" t="str">
        <f aca="false">SLR_Extraction!F48</f>
        <v>Simulation; Analytical/Modeling</v>
      </c>
      <c r="D48" s="5" t="s">
        <v>8</v>
      </c>
      <c r="E48" s="5" t="s">
        <v>8</v>
      </c>
      <c r="F48" s="5" t="s">
        <v>8</v>
      </c>
      <c r="G48" s="5" t="s">
        <v>8</v>
      </c>
      <c r="H48" s="5" t="s">
        <v>8</v>
      </c>
    </row>
    <row r="49" customFormat="false" ht="35.05" hidden="false" customHeight="false" outlineLevel="0" collapsed="false">
      <c r="A49" s="5" t="n">
        <v>48</v>
      </c>
      <c r="B49" s="5" t="str">
        <f aca="false">SLR_Extraction!B49</f>
        <v>Saikko et al. - 2025 - Positioning and Tracking in DECT-2020 NR With Proactive Anchor Selection for Range, Angle, and RSS M</v>
      </c>
      <c r="C49" s="5" t="str">
        <f aca="false">SLR_Extraction!F49</f>
        <v>Simulation; Experimental/Testbed; Analytical/Modeling</v>
      </c>
      <c r="D49" s="5" t="s">
        <v>8</v>
      </c>
      <c r="E49" s="5" t="s">
        <v>8</v>
      </c>
      <c r="F49" s="5" t="s">
        <v>8</v>
      </c>
      <c r="G49" s="5" t="s">
        <v>8</v>
      </c>
      <c r="H49" s="5" t="s">
        <v>8</v>
      </c>
    </row>
    <row r="50" customFormat="false" ht="23.85" hidden="false" customHeight="false" outlineLevel="0" collapsed="false">
      <c r="A50" s="5" t="n">
        <v>49</v>
      </c>
      <c r="B50" s="5" t="str">
        <f aca="false">SLR_Extraction!B50</f>
        <v>Samuylov et al. - 2023 - Performance Assessment of DECT-2020 NR and Classic DECT Coexistence Mechanisms</v>
      </c>
      <c r="C50" s="5" t="str">
        <f aca="false">SLR_Extraction!F50</f>
        <v>Simulation</v>
      </c>
      <c r="D50" s="5" t="s">
        <v>8</v>
      </c>
      <c r="E50" s="5" t="s">
        <v>8</v>
      </c>
      <c r="F50" s="5" t="s">
        <v>8</v>
      </c>
      <c r="G50" s="5" t="s">
        <v>8</v>
      </c>
      <c r="H50" s="5" t="s">
        <v>8</v>
      </c>
    </row>
    <row r="51" customFormat="false" ht="23.85" hidden="false" customHeight="false" outlineLevel="0" collapsed="false">
      <c r="A51" s="5" t="n">
        <v>50</v>
      </c>
      <c r="B51" s="5" t="str">
        <f aca="false">SLR_Extraction!B51</f>
        <v>Samuylov et al. - 2024 - Performance of MAC Layer Mechanisms in DECT-2020 NR mMTC Technology</v>
      </c>
      <c r="C51" s="5" t="str">
        <f aca="false">SLR_Extraction!F51</f>
        <v>Simulation; Analytical/Modeling</v>
      </c>
      <c r="D51" s="5" t="s">
        <v>8</v>
      </c>
      <c r="E51" s="5" t="s">
        <v>8</v>
      </c>
      <c r="F51" s="5" t="s">
        <v>8</v>
      </c>
      <c r="G51" s="5" t="s">
        <v>8</v>
      </c>
      <c r="H51" s="5" t="s">
        <v>8</v>
      </c>
    </row>
    <row r="52" customFormat="false" ht="23.85" hidden="false" customHeight="false" outlineLevel="0" collapsed="false">
      <c r="A52" s="5" t="n">
        <v>51</v>
      </c>
      <c r="B52" s="5" t="str">
        <f aca="false">SLR_Extraction!B52</f>
        <v>Samuylov et al. - 2025 - Empowering Near-URLLC IoT with 5G DECT-2020 NR Current State and the Road Ahead</v>
      </c>
      <c r="C52" s="5" t="str">
        <f aca="false">SLR_Extraction!F52</f>
        <v>Simulation; Survey/Overview</v>
      </c>
      <c r="D52" s="5" t="s">
        <v>8</v>
      </c>
      <c r="E52" s="5" t="s">
        <v>8</v>
      </c>
      <c r="F52" s="5" t="s">
        <v>8</v>
      </c>
      <c r="G52" s="5" t="s">
        <v>8</v>
      </c>
      <c r="H52" s="5" t="s">
        <v>8</v>
      </c>
    </row>
    <row r="53" customFormat="false" ht="23.85" hidden="false" customHeight="false" outlineLevel="0" collapsed="false">
      <c r="A53" s="5" t="n">
        <v>52</v>
      </c>
      <c r="B53" s="5" t="str">
        <f aca="false">SLR_Extraction!B53</f>
        <v>Samuylov et al. - 2025 - Performance of DECT-2020 NR and FCC-Based Mesh IoT Systems in DECT Bands</v>
      </c>
      <c r="C53" s="5" t="str">
        <f aca="false">SLR_Extraction!F53</f>
        <v>Simulation</v>
      </c>
      <c r="D53" s="5" t="s">
        <v>8</v>
      </c>
      <c r="E53" s="5" t="s">
        <v>8</v>
      </c>
      <c r="F53" s="5" t="s">
        <v>8</v>
      </c>
      <c r="G53" s="5" t="s">
        <v>8</v>
      </c>
      <c r="H53" s="5" t="s">
        <v>8</v>
      </c>
    </row>
    <row r="54" customFormat="false" ht="23.85" hidden="false" customHeight="false" outlineLevel="0" collapsed="false">
      <c r="A54" s="5" t="n">
        <v>53</v>
      </c>
      <c r="B54" s="5" t="str">
        <f aca="false">SLR_Extraction!B54</f>
        <v>Singhwi et al. - 2021 - DECT-2020 New Radio System Level Assessment for Multi-Hop Assisted mMTC usage Scenario</v>
      </c>
      <c r="C54" s="5" t="str">
        <f aca="false">SLR_Extraction!F54</f>
        <v>Simulation</v>
      </c>
      <c r="D54" s="5" t="s">
        <v>8</v>
      </c>
      <c r="E54" s="5" t="s">
        <v>8</v>
      </c>
      <c r="F54" s="5" t="s">
        <v>8</v>
      </c>
      <c r="G54" s="5" t="s">
        <v>8</v>
      </c>
      <c r="H54" s="5" t="s">
        <v>8</v>
      </c>
    </row>
    <row r="55" customFormat="false" ht="35.05" hidden="false" customHeight="false" outlineLevel="0" collapsed="false">
      <c r="A55" s="5" t="n">
        <v>54</v>
      </c>
      <c r="B55" s="5" t="str">
        <f aca="false">SLR_Extraction!B55</f>
        <v>Smida et al. - 2023 - ETSIDECT-2020 Component RIT Technology Implementation and Evaluation Contributions in mMTC and URLL</v>
      </c>
      <c r="C55" s="5" t="str">
        <f aca="false">SLR_Extraction!F55</f>
        <v>Simulation; Analytical/Modeling</v>
      </c>
      <c r="D55" s="5" t="s">
        <v>8</v>
      </c>
      <c r="E55" s="5" t="s">
        <v>8</v>
      </c>
      <c r="F55" s="5" t="s">
        <v>8</v>
      </c>
      <c r="G55" s="5" t="s">
        <v>8</v>
      </c>
      <c r="H55" s="5" t="s">
        <v>8</v>
      </c>
    </row>
    <row r="56" customFormat="false" ht="23.85" hidden="false" customHeight="false" outlineLevel="0" collapsed="false">
      <c r="A56" s="5" t="n">
        <v>55</v>
      </c>
      <c r="B56" s="5" t="str">
        <f aca="false">SLR_Extraction!B56</f>
        <v>Soni et al. - 2021 - On Performance of multi-hop assisted mMTC for DECT-2020 New Radio System</v>
      </c>
      <c r="C56" s="5" t="str">
        <f aca="false">SLR_Extraction!F56</f>
        <v>Simulation; Analytical/Modeling</v>
      </c>
      <c r="D56" s="5" t="s">
        <v>8</v>
      </c>
      <c r="E56" s="5" t="s">
        <v>8</v>
      </c>
      <c r="F56" s="5" t="s">
        <v>8</v>
      </c>
      <c r="G56" s="5" t="s">
        <v>8</v>
      </c>
      <c r="H56" s="5" t="s">
        <v>8</v>
      </c>
    </row>
    <row r="57" customFormat="false" ht="23.85" hidden="false" customHeight="false" outlineLevel="0" collapsed="false">
      <c r="A57" s="5" t="n">
        <v>56</v>
      </c>
      <c r="B57" s="5" t="str">
        <f aca="false">SLR_Extraction!B57</f>
        <v>Soni et al. - 2023 - Link-Level Assessment of NOMA Aided Multi-hop DECT-2020 New Radio for mMTC Applications</v>
      </c>
      <c r="C57" s="5" t="str">
        <f aca="false">SLR_Extraction!F57</f>
        <v>Simulation; Analytical/Modeling</v>
      </c>
      <c r="D57" s="5" t="s">
        <v>8</v>
      </c>
      <c r="E57" s="5" t="s">
        <v>8</v>
      </c>
      <c r="F57" s="5" t="s">
        <v>8</v>
      </c>
      <c r="G57" s="5" t="s">
        <v>8</v>
      </c>
      <c r="H57" s="5" t="s">
        <v>8</v>
      </c>
    </row>
    <row r="58" customFormat="false" ht="23.85" hidden="false" customHeight="false" outlineLevel="0" collapsed="false">
      <c r="A58" s="5" t="n">
        <v>57</v>
      </c>
      <c r="B58" s="5" t="str">
        <f aca="false">SLR_Extraction!B58</f>
        <v>Stiller et al. - 2024 - Wireless Communication (Short Range and Long Range incl. LPWAN)</v>
      </c>
      <c r="C58" s="5" t="str">
        <f aca="false">SLR_Extraction!F58</f>
        <v>Survey/Overview</v>
      </c>
      <c r="D58" s="5" t="s">
        <v>8</v>
      </c>
      <c r="E58" s="5" t="s">
        <v>8</v>
      </c>
      <c r="F58" s="5" t="s">
        <v>8</v>
      </c>
      <c r="G58" s="5" t="s">
        <v>8</v>
      </c>
      <c r="H58" s="5" t="s">
        <v>8</v>
      </c>
    </row>
    <row r="59" customFormat="false" ht="23.85" hidden="false" customHeight="false" outlineLevel="0" collapsed="false">
      <c r="A59" s="5" t="n">
        <v>58</v>
      </c>
      <c r="B59" s="5" t="str">
        <f aca="false">SLR_Extraction!B59</f>
        <v>Waßmann et al. - 2024 - Performance of DECT-2020 NR in an industrial environment for varying RF bands</v>
      </c>
      <c r="C59" s="5" t="str">
        <f aca="false">SLR_Extraction!F59</f>
        <v>Simulation; Experimental/Testbed</v>
      </c>
      <c r="D59" s="5" t="s">
        <v>8</v>
      </c>
      <c r="E59" s="5" t="s">
        <v>8</v>
      </c>
      <c r="F59" s="5" t="s">
        <v>8</v>
      </c>
      <c r="G59" s="5" t="s">
        <v>8</v>
      </c>
      <c r="H59" s="5" t="s">
        <v>8</v>
      </c>
    </row>
    <row r="60" customFormat="false" ht="15" hidden="false" customHeight="false" outlineLevel="0" collapsed="false">
      <c r="A60" s="1" t="n">
        <v>59</v>
      </c>
      <c r="B60" s="1" t="s">
        <v>181</v>
      </c>
      <c r="C60" s="1" t="s">
        <v>70</v>
      </c>
      <c r="D60" s="1" t="s">
        <v>8</v>
      </c>
      <c r="E60" s="1" t="s">
        <v>8</v>
      </c>
      <c r="F60" s="1" t="s">
        <v>8</v>
      </c>
      <c r="G60" s="1" t="s">
        <v>8</v>
      </c>
      <c r="H60" s="1" t="s">
        <v>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60"/>
  <sheetViews>
    <sheetView showFormulas="false" showGridLines="true" showRowColHeaders="true" showZeros="true" rightToLeft="false" tabSelected="true" showOutlineSymbols="true" defaultGridColor="true" view="normal" topLeftCell="M4" colorId="64" zoomScale="100" zoomScaleNormal="100" zoomScalePageLayoutView="100" workbookViewId="0">
      <selection pane="topLeft" activeCell="N4" activeCellId="0" sqref="A1:P60"/>
    </sheetView>
  </sheetViews>
  <sheetFormatPr defaultColWidth="8.6796875" defaultRowHeight="15" customHeight="false" zeroHeight="false" outlineLevelRow="0" outlineLevelCol="0"/>
  <cols>
    <col collapsed="false" customWidth="true" hidden="false" outlineLevel="0" max="1" min="1" style="1" width="7"/>
    <col collapsed="false" customWidth="true" hidden="false" outlineLevel="0" max="2" min="2" style="1" width="34"/>
    <col collapsed="false" customWidth="true" hidden="false" outlineLevel="0" max="3" min="3" style="1" width="32"/>
    <col collapsed="false" customWidth="true" hidden="false" outlineLevel="0" max="4" min="4" style="1" width="12"/>
    <col collapsed="false" customWidth="true" hidden="false" outlineLevel="0" max="5" min="5" style="1" width="28"/>
    <col collapsed="false" customWidth="true" hidden="false" outlineLevel="0" max="6" min="6" style="1" width="24"/>
    <col collapsed="false" customWidth="true" hidden="false" outlineLevel="0" max="10" min="7" style="1" width="52"/>
    <col collapsed="false" customWidth="true" hidden="false" outlineLevel="0" max="12" min="11" style="1" width="36"/>
    <col collapsed="false" customWidth="true" hidden="false" outlineLevel="0" max="13" min="13" style="1" width="32"/>
    <col collapsed="false" customWidth="true" hidden="false" outlineLevel="0" max="14" min="14" style="1" width="34"/>
    <col collapsed="false" customWidth="true" hidden="false" outlineLevel="0" max="15" min="15" style="1" width="38"/>
    <col collapsed="false" customWidth="true" hidden="false" outlineLevel="0" max="16" min="16" style="1" width="24"/>
  </cols>
  <sheetData>
    <row r="1" customFormat="false" ht="32" hidden="false" customHeight="true" outlineLevel="0" collapsed="false">
      <c r="A1" s="4" t="s">
        <v>42</v>
      </c>
      <c r="B1" s="4" t="s">
        <v>43</v>
      </c>
      <c r="C1" s="4" t="s">
        <v>190</v>
      </c>
      <c r="D1" s="4" t="s">
        <v>191</v>
      </c>
      <c r="E1" s="4" t="s">
        <v>9</v>
      </c>
      <c r="F1" s="4" t="s">
        <v>184</v>
      </c>
      <c r="G1" s="4" t="s">
        <v>192</v>
      </c>
      <c r="H1" s="4" t="s">
        <v>193</v>
      </c>
      <c r="I1" s="4" t="s">
        <v>194</v>
      </c>
      <c r="J1" s="4" t="s">
        <v>195</v>
      </c>
      <c r="K1" s="4" t="s">
        <v>196</v>
      </c>
      <c r="L1" s="4" t="s">
        <v>197</v>
      </c>
      <c r="M1" s="4" t="s">
        <v>198</v>
      </c>
      <c r="N1" s="4" t="s">
        <v>199</v>
      </c>
      <c r="O1" s="6" t="s">
        <v>34</v>
      </c>
      <c r="P1" s="6" t="s">
        <v>200</v>
      </c>
    </row>
    <row r="2" customFormat="false" ht="350.7" hidden="false" customHeight="false" outlineLevel="0" collapsed="false">
      <c r="A2" s="13" t="n">
        <v>1</v>
      </c>
      <c r="B2" s="13" t="s">
        <v>49</v>
      </c>
      <c r="C2" s="13" t="s">
        <v>201</v>
      </c>
      <c r="D2" s="13" t="s">
        <v>8</v>
      </c>
      <c r="E2" s="13" t="s">
        <v>202</v>
      </c>
      <c r="F2" s="13" t="s">
        <v>20</v>
      </c>
      <c r="G2" s="14" t="s">
        <v>203</v>
      </c>
      <c r="H2" s="14" t="s">
        <v>204</v>
      </c>
      <c r="I2" s="14" t="s">
        <v>205</v>
      </c>
      <c r="J2" s="14" t="s">
        <v>206</v>
      </c>
      <c r="K2" s="14" t="s">
        <v>207</v>
      </c>
      <c r="L2" s="14" t="s">
        <v>208</v>
      </c>
      <c r="M2" s="14" t="s">
        <v>209</v>
      </c>
      <c r="N2" s="14" t="s">
        <v>210</v>
      </c>
      <c r="O2" s="11" t="s">
        <v>211</v>
      </c>
      <c r="P2" s="11" t="s">
        <v>212</v>
      </c>
    </row>
    <row r="3" customFormat="false" ht="364.15" hidden="false" customHeight="false" outlineLevel="0" collapsed="false">
      <c r="A3" s="13" t="n">
        <v>2</v>
      </c>
      <c r="B3" s="13" t="s">
        <v>53</v>
      </c>
      <c r="C3" s="13" t="s">
        <v>213</v>
      </c>
      <c r="D3" s="13" t="s">
        <v>8</v>
      </c>
      <c r="E3" s="13" t="s">
        <v>214</v>
      </c>
      <c r="F3" s="13" t="s">
        <v>20</v>
      </c>
      <c r="G3" s="14" t="s">
        <v>215</v>
      </c>
      <c r="H3" s="14" t="s">
        <v>216</v>
      </c>
      <c r="I3" s="14" t="s">
        <v>217</v>
      </c>
      <c r="J3" s="14" t="s">
        <v>218</v>
      </c>
      <c r="K3" s="14" t="s">
        <v>219</v>
      </c>
      <c r="L3" s="14" t="s">
        <v>220</v>
      </c>
      <c r="M3" s="14" t="s">
        <v>221</v>
      </c>
      <c r="N3" s="14" t="s">
        <v>222</v>
      </c>
      <c r="O3" s="11" t="s">
        <v>223</v>
      </c>
      <c r="P3" s="11" t="s">
        <v>212</v>
      </c>
    </row>
    <row r="4" customFormat="false" ht="323.85" hidden="false" customHeight="false" outlineLevel="0" collapsed="false">
      <c r="A4" s="13" t="n">
        <v>3</v>
      </c>
      <c r="B4" s="13" t="s">
        <v>56</v>
      </c>
      <c r="C4" s="13" t="s">
        <v>224</v>
      </c>
      <c r="D4" s="13" t="s">
        <v>8</v>
      </c>
      <c r="E4" s="13" t="s">
        <v>225</v>
      </c>
      <c r="F4" s="13" t="s">
        <v>20</v>
      </c>
      <c r="G4" s="14" t="s">
        <v>226</v>
      </c>
      <c r="H4" s="14" t="s">
        <v>227</v>
      </c>
      <c r="I4" s="14" t="s">
        <v>228</v>
      </c>
      <c r="J4" s="14" t="s">
        <v>229</v>
      </c>
      <c r="K4" s="14" t="s">
        <v>230</v>
      </c>
      <c r="L4" s="14" t="s">
        <v>231</v>
      </c>
      <c r="M4" s="14" t="s">
        <v>232</v>
      </c>
      <c r="N4" s="14" t="s">
        <v>233</v>
      </c>
      <c r="O4" s="11" t="s">
        <v>234</v>
      </c>
      <c r="P4" s="11" t="s">
        <v>212</v>
      </c>
    </row>
    <row r="5" customFormat="false" ht="323.85" hidden="false" customHeight="false" outlineLevel="0" collapsed="false">
      <c r="A5" s="13" t="n">
        <v>4</v>
      </c>
      <c r="B5" s="13" t="s">
        <v>58</v>
      </c>
      <c r="C5" s="13" t="s">
        <v>235</v>
      </c>
      <c r="D5" s="13" t="s">
        <v>8</v>
      </c>
      <c r="E5" s="13" t="s">
        <v>225</v>
      </c>
      <c r="F5" s="13" t="s">
        <v>19</v>
      </c>
      <c r="G5" s="14" t="s">
        <v>236</v>
      </c>
      <c r="H5" s="14" t="s">
        <v>237</v>
      </c>
      <c r="I5" s="14" t="s">
        <v>238</v>
      </c>
      <c r="J5" s="14" t="s">
        <v>239</v>
      </c>
      <c r="K5" s="14" t="s">
        <v>240</v>
      </c>
      <c r="L5" s="14" t="s">
        <v>241</v>
      </c>
      <c r="M5" s="14" t="s">
        <v>242</v>
      </c>
      <c r="N5" s="14" t="s">
        <v>243</v>
      </c>
      <c r="O5" s="11" t="s">
        <v>244</v>
      </c>
      <c r="P5" s="11" t="s">
        <v>212</v>
      </c>
    </row>
    <row r="6" customFormat="false" ht="323.85" hidden="false" customHeight="false" outlineLevel="0" collapsed="false">
      <c r="A6" s="13" t="n">
        <v>5</v>
      </c>
      <c r="B6" s="13" t="s">
        <v>62</v>
      </c>
      <c r="C6" s="13" t="s">
        <v>62</v>
      </c>
      <c r="D6" s="13" t="s">
        <v>8</v>
      </c>
      <c r="E6" s="13" t="s">
        <v>245</v>
      </c>
      <c r="F6" s="13" t="s">
        <v>21</v>
      </c>
      <c r="G6" s="14" t="s">
        <v>246</v>
      </c>
      <c r="H6" s="14" t="s">
        <v>247</v>
      </c>
      <c r="I6" s="14" t="s">
        <v>248</v>
      </c>
      <c r="J6" s="14" t="s">
        <v>249</v>
      </c>
      <c r="K6" s="14" t="s">
        <v>250</v>
      </c>
      <c r="L6" s="14" t="s">
        <v>251</v>
      </c>
      <c r="M6" s="14" t="s">
        <v>252</v>
      </c>
      <c r="N6" s="14" t="s">
        <v>253</v>
      </c>
      <c r="O6" s="11" t="s">
        <v>254</v>
      </c>
      <c r="P6" s="11" t="s">
        <v>212</v>
      </c>
    </row>
    <row r="7" customFormat="false" ht="391" hidden="false" customHeight="false" outlineLevel="0" collapsed="false">
      <c r="A7" s="13" t="n">
        <v>6</v>
      </c>
      <c r="B7" s="13" t="s">
        <v>66</v>
      </c>
      <c r="C7" s="13" t="s">
        <v>255</v>
      </c>
      <c r="D7" s="13" t="s">
        <v>8</v>
      </c>
      <c r="E7" s="13" t="s">
        <v>256</v>
      </c>
      <c r="F7" s="13" t="s">
        <v>67</v>
      </c>
      <c r="G7" s="14" t="s">
        <v>257</v>
      </c>
      <c r="H7" s="14" t="s">
        <v>258</v>
      </c>
      <c r="I7" s="14" t="s">
        <v>259</v>
      </c>
      <c r="J7" s="14" t="s">
        <v>260</v>
      </c>
      <c r="K7" s="14" t="s">
        <v>261</v>
      </c>
      <c r="L7" s="14" t="s">
        <v>262</v>
      </c>
      <c r="M7" s="14" t="s">
        <v>263</v>
      </c>
      <c r="N7" s="14" t="s">
        <v>264</v>
      </c>
      <c r="O7" s="11" t="s">
        <v>265</v>
      </c>
      <c r="P7" s="11" t="s">
        <v>212</v>
      </c>
    </row>
    <row r="8" customFormat="false" ht="431.3" hidden="false" customHeight="false" outlineLevel="0" collapsed="false">
      <c r="A8" s="13" t="n">
        <v>7</v>
      </c>
      <c r="B8" s="13" t="s">
        <v>69</v>
      </c>
      <c r="C8" s="13" t="s">
        <v>69</v>
      </c>
      <c r="D8" s="13" t="s">
        <v>8</v>
      </c>
      <c r="E8" s="13" t="s">
        <v>266</v>
      </c>
      <c r="F8" s="13" t="s">
        <v>22</v>
      </c>
      <c r="G8" s="14" t="s">
        <v>267</v>
      </c>
      <c r="H8" s="14" t="s">
        <v>268</v>
      </c>
      <c r="I8" s="14" t="s">
        <v>269</v>
      </c>
      <c r="J8" s="14" t="s">
        <v>270</v>
      </c>
      <c r="K8" s="14" t="s">
        <v>271</v>
      </c>
      <c r="L8" s="14" t="s">
        <v>272</v>
      </c>
      <c r="M8" s="14" t="s">
        <v>273</v>
      </c>
      <c r="N8" s="14" t="s">
        <v>274</v>
      </c>
      <c r="O8" s="11" t="s">
        <v>275</v>
      </c>
      <c r="P8" s="11" t="s">
        <v>212</v>
      </c>
    </row>
    <row r="9" customFormat="false" ht="337.3" hidden="false" customHeight="false" outlineLevel="0" collapsed="false">
      <c r="A9" s="13" t="n">
        <v>8</v>
      </c>
      <c r="B9" s="13" t="s">
        <v>72</v>
      </c>
      <c r="C9" s="13" t="s">
        <v>276</v>
      </c>
      <c r="D9" s="13" t="s">
        <v>8</v>
      </c>
      <c r="E9" s="13" t="s">
        <v>256</v>
      </c>
      <c r="F9" s="13" t="s">
        <v>19</v>
      </c>
      <c r="G9" s="14" t="s">
        <v>277</v>
      </c>
      <c r="H9" s="14" t="s">
        <v>278</v>
      </c>
      <c r="I9" s="14" t="s">
        <v>279</v>
      </c>
      <c r="J9" s="14" t="s">
        <v>280</v>
      </c>
      <c r="K9" s="14" t="s">
        <v>281</v>
      </c>
      <c r="L9" s="14" t="s">
        <v>282</v>
      </c>
      <c r="M9" s="14" t="s">
        <v>283</v>
      </c>
      <c r="N9" s="14" t="s">
        <v>284</v>
      </c>
      <c r="O9" s="11" t="s">
        <v>285</v>
      </c>
      <c r="P9" s="11" t="s">
        <v>212</v>
      </c>
    </row>
    <row r="10" customFormat="false" ht="350.7" hidden="false" customHeight="false" outlineLevel="0" collapsed="false">
      <c r="A10" s="13" t="n">
        <v>9</v>
      </c>
      <c r="B10" s="13" t="s">
        <v>74</v>
      </c>
      <c r="C10" s="13" t="s">
        <v>286</v>
      </c>
      <c r="D10" s="13" t="s">
        <v>8</v>
      </c>
      <c r="E10" s="13" t="s">
        <v>225</v>
      </c>
      <c r="F10" s="13" t="s">
        <v>20</v>
      </c>
      <c r="G10" s="14" t="s">
        <v>287</v>
      </c>
      <c r="H10" s="14" t="s">
        <v>288</v>
      </c>
      <c r="I10" s="14" t="s">
        <v>289</v>
      </c>
      <c r="J10" s="14" t="s">
        <v>290</v>
      </c>
      <c r="K10" s="14" t="s">
        <v>291</v>
      </c>
      <c r="L10" s="14" t="s">
        <v>292</v>
      </c>
      <c r="M10" s="14" t="s">
        <v>293</v>
      </c>
      <c r="N10" s="14" t="s">
        <v>294</v>
      </c>
      <c r="O10" s="11" t="s">
        <v>295</v>
      </c>
      <c r="P10" s="11" t="s">
        <v>212</v>
      </c>
    </row>
    <row r="11" customFormat="false" ht="350.7" hidden="false" customHeight="false" outlineLevel="0" collapsed="false">
      <c r="A11" s="13" t="n">
        <v>10</v>
      </c>
      <c r="B11" s="13" t="s">
        <v>77</v>
      </c>
      <c r="C11" s="13" t="s">
        <v>296</v>
      </c>
      <c r="D11" s="13" t="s">
        <v>297</v>
      </c>
      <c r="E11" s="13" t="s">
        <v>225</v>
      </c>
      <c r="F11" s="13" t="s">
        <v>20</v>
      </c>
      <c r="G11" s="14" t="s">
        <v>287</v>
      </c>
      <c r="H11" s="14" t="s">
        <v>298</v>
      </c>
      <c r="I11" s="14" t="s">
        <v>299</v>
      </c>
      <c r="J11" s="14" t="s">
        <v>300</v>
      </c>
      <c r="K11" s="14" t="s">
        <v>301</v>
      </c>
      <c r="L11" s="14" t="s">
        <v>302</v>
      </c>
      <c r="M11" s="14" t="s">
        <v>303</v>
      </c>
      <c r="N11" s="14" t="s">
        <v>304</v>
      </c>
      <c r="O11" s="11" t="s">
        <v>305</v>
      </c>
      <c r="P11" s="11" t="s">
        <v>212</v>
      </c>
    </row>
    <row r="12" customFormat="false" ht="444.75" hidden="false" customHeight="false" outlineLevel="0" collapsed="false">
      <c r="A12" s="13" t="n">
        <v>11</v>
      </c>
      <c r="B12" s="13" t="s">
        <v>79</v>
      </c>
      <c r="C12" s="13" t="s">
        <v>306</v>
      </c>
      <c r="D12" s="13" t="s">
        <v>8</v>
      </c>
      <c r="E12" s="13" t="s">
        <v>307</v>
      </c>
      <c r="F12" s="13" t="s">
        <v>22</v>
      </c>
      <c r="G12" s="14" t="s">
        <v>308</v>
      </c>
      <c r="H12" s="14" t="s">
        <v>309</v>
      </c>
      <c r="I12" s="14" t="s">
        <v>310</v>
      </c>
      <c r="J12" s="14" t="s">
        <v>311</v>
      </c>
      <c r="K12" s="14" t="s">
        <v>312</v>
      </c>
      <c r="L12" s="14" t="s">
        <v>313</v>
      </c>
      <c r="M12" s="14" t="s">
        <v>314</v>
      </c>
      <c r="N12" s="14" t="s">
        <v>315</v>
      </c>
      <c r="O12" s="11" t="s">
        <v>316</v>
      </c>
      <c r="P12" s="11" t="s">
        <v>212</v>
      </c>
    </row>
    <row r="13" customFormat="false" ht="579.1" hidden="false" customHeight="false" outlineLevel="0" collapsed="false">
      <c r="A13" s="13" t="n">
        <v>12</v>
      </c>
      <c r="B13" s="13" t="s">
        <v>82</v>
      </c>
      <c r="C13" s="13" t="s">
        <v>317</v>
      </c>
      <c r="D13" s="13" t="s">
        <v>8</v>
      </c>
      <c r="E13" s="13" t="s">
        <v>318</v>
      </c>
      <c r="F13" s="13" t="s">
        <v>22</v>
      </c>
      <c r="G13" s="14" t="s">
        <v>319</v>
      </c>
      <c r="H13" s="14" t="s">
        <v>320</v>
      </c>
      <c r="I13" s="14" t="s">
        <v>321</v>
      </c>
      <c r="J13" s="14" t="s">
        <v>322</v>
      </c>
      <c r="K13" s="14" t="s">
        <v>323</v>
      </c>
      <c r="L13" s="14" t="s">
        <v>324</v>
      </c>
      <c r="M13" s="14" t="s">
        <v>325</v>
      </c>
      <c r="N13" s="14" t="s">
        <v>326</v>
      </c>
      <c r="O13" s="11" t="s">
        <v>327</v>
      </c>
      <c r="P13" s="11" t="s">
        <v>212</v>
      </c>
    </row>
    <row r="14" customFormat="false" ht="377.6" hidden="false" customHeight="false" outlineLevel="0" collapsed="false">
      <c r="A14" s="13" t="n">
        <v>13</v>
      </c>
      <c r="B14" s="13" t="s">
        <v>84</v>
      </c>
      <c r="C14" s="13" t="s">
        <v>328</v>
      </c>
      <c r="D14" s="13" t="s">
        <v>8</v>
      </c>
      <c r="E14" s="13" t="s">
        <v>256</v>
      </c>
      <c r="F14" s="13" t="s">
        <v>19</v>
      </c>
      <c r="G14" s="14" t="s">
        <v>329</v>
      </c>
      <c r="H14" s="14" t="s">
        <v>330</v>
      </c>
      <c r="I14" s="14" t="s">
        <v>331</v>
      </c>
      <c r="J14" s="14" t="s">
        <v>332</v>
      </c>
      <c r="K14" s="14" t="s">
        <v>333</v>
      </c>
      <c r="L14" s="14" t="s">
        <v>334</v>
      </c>
      <c r="M14" s="14" t="s">
        <v>335</v>
      </c>
      <c r="N14" s="14" t="s">
        <v>336</v>
      </c>
      <c r="O14" s="11" t="s">
        <v>337</v>
      </c>
      <c r="P14" s="11" t="s">
        <v>212</v>
      </c>
    </row>
    <row r="15" customFormat="false" ht="498.5" hidden="false" customHeight="false" outlineLevel="0" collapsed="false">
      <c r="A15" s="13" t="n">
        <v>14</v>
      </c>
      <c r="B15" s="13" t="s">
        <v>86</v>
      </c>
      <c r="C15" s="13" t="s">
        <v>338</v>
      </c>
      <c r="D15" s="13" t="s">
        <v>8</v>
      </c>
      <c r="E15" s="13" t="s">
        <v>339</v>
      </c>
      <c r="F15" s="13" t="s">
        <v>22</v>
      </c>
      <c r="G15" s="14" t="s">
        <v>340</v>
      </c>
      <c r="H15" s="14" t="s">
        <v>341</v>
      </c>
      <c r="I15" s="14" t="s">
        <v>342</v>
      </c>
      <c r="J15" s="14" t="s">
        <v>343</v>
      </c>
      <c r="K15" s="14" t="s">
        <v>344</v>
      </c>
      <c r="L15" s="14" t="s">
        <v>345</v>
      </c>
      <c r="M15" s="14" t="s">
        <v>346</v>
      </c>
      <c r="N15" s="14" t="s">
        <v>347</v>
      </c>
      <c r="O15" s="11" t="s">
        <v>348</v>
      </c>
      <c r="P15" s="11" t="s">
        <v>212</v>
      </c>
    </row>
    <row r="16" customFormat="false" ht="498.5" hidden="false" customHeight="false" outlineLevel="0" collapsed="false">
      <c r="A16" s="13" t="n">
        <v>15</v>
      </c>
      <c r="B16" s="13" t="s">
        <v>88</v>
      </c>
      <c r="C16" s="13" t="s">
        <v>349</v>
      </c>
      <c r="D16" s="13" t="s">
        <v>8</v>
      </c>
      <c r="E16" s="13" t="s">
        <v>202</v>
      </c>
      <c r="F16" s="13" t="s">
        <v>20</v>
      </c>
      <c r="G16" s="14" t="s">
        <v>350</v>
      </c>
      <c r="H16" s="14" t="s">
        <v>351</v>
      </c>
      <c r="I16" s="14" t="s">
        <v>352</v>
      </c>
      <c r="J16" s="14" t="s">
        <v>353</v>
      </c>
      <c r="K16" s="14" t="s">
        <v>354</v>
      </c>
      <c r="L16" s="14" t="s">
        <v>355</v>
      </c>
      <c r="M16" s="14" t="s">
        <v>356</v>
      </c>
      <c r="N16" s="14" t="s">
        <v>357</v>
      </c>
      <c r="O16" s="11" t="s">
        <v>358</v>
      </c>
      <c r="P16" s="11" t="s">
        <v>212</v>
      </c>
    </row>
    <row r="17" customFormat="false" ht="485.05" hidden="false" customHeight="false" outlineLevel="0" collapsed="false">
      <c r="A17" s="13" t="n">
        <v>16</v>
      </c>
      <c r="B17" s="13" t="s">
        <v>92</v>
      </c>
      <c r="C17" s="13" t="s">
        <v>359</v>
      </c>
      <c r="D17" s="13" t="s">
        <v>8</v>
      </c>
      <c r="E17" s="13" t="s">
        <v>360</v>
      </c>
      <c r="F17" s="13" t="s">
        <v>89</v>
      </c>
      <c r="G17" s="14" t="s">
        <v>361</v>
      </c>
      <c r="H17" s="14" t="s">
        <v>362</v>
      </c>
      <c r="I17" s="14" t="s">
        <v>363</v>
      </c>
      <c r="J17" s="14" t="s">
        <v>364</v>
      </c>
      <c r="K17" s="14" t="s">
        <v>365</v>
      </c>
      <c r="L17" s="14" t="s">
        <v>366</v>
      </c>
      <c r="M17" s="14" t="s">
        <v>367</v>
      </c>
      <c r="N17" s="14" t="s">
        <v>368</v>
      </c>
      <c r="O17" s="11" t="s">
        <v>369</v>
      </c>
      <c r="P17" s="11" t="s">
        <v>212</v>
      </c>
    </row>
    <row r="18" customFormat="false" ht="243.25" hidden="false" customHeight="false" outlineLevel="0" collapsed="false">
      <c r="A18" s="13" t="n">
        <v>17</v>
      </c>
      <c r="B18" s="13" t="s">
        <v>94</v>
      </c>
      <c r="C18" s="13" t="s">
        <v>370</v>
      </c>
      <c r="D18" s="13" t="s">
        <v>8</v>
      </c>
      <c r="E18" s="13" t="s">
        <v>371</v>
      </c>
      <c r="F18" s="13" t="s">
        <v>67</v>
      </c>
      <c r="G18" s="14" t="s">
        <v>372</v>
      </c>
      <c r="H18" s="14" t="s">
        <v>373</v>
      </c>
      <c r="I18" s="14" t="s">
        <v>374</v>
      </c>
      <c r="J18" s="14" t="s">
        <v>375</v>
      </c>
      <c r="K18" s="14" t="s">
        <v>376</v>
      </c>
      <c r="L18" s="14" t="s">
        <v>377</v>
      </c>
      <c r="M18" s="14" t="s">
        <v>378</v>
      </c>
      <c r="N18" s="14" t="s">
        <v>379</v>
      </c>
      <c r="O18" s="11" t="s">
        <v>380</v>
      </c>
      <c r="P18" s="11" t="s">
        <v>212</v>
      </c>
    </row>
    <row r="19" customFormat="false" ht="391" hidden="false" customHeight="false" outlineLevel="0" collapsed="false">
      <c r="A19" s="13" t="n">
        <v>18</v>
      </c>
      <c r="B19" s="13" t="s">
        <v>96</v>
      </c>
      <c r="C19" s="13" t="s">
        <v>381</v>
      </c>
      <c r="D19" s="13" t="s">
        <v>8</v>
      </c>
      <c r="E19" s="13" t="s">
        <v>214</v>
      </c>
      <c r="F19" s="13" t="s">
        <v>19</v>
      </c>
      <c r="G19" s="14" t="s">
        <v>382</v>
      </c>
      <c r="H19" s="14" t="s">
        <v>383</v>
      </c>
      <c r="I19" s="14" t="s">
        <v>384</v>
      </c>
      <c r="J19" s="14" t="s">
        <v>385</v>
      </c>
      <c r="K19" s="14" t="s">
        <v>386</v>
      </c>
      <c r="L19" s="14" t="s">
        <v>387</v>
      </c>
      <c r="M19" s="14" t="s">
        <v>388</v>
      </c>
      <c r="N19" s="14" t="s">
        <v>389</v>
      </c>
      <c r="O19" s="11" t="s">
        <v>390</v>
      </c>
      <c r="P19" s="11" t="s">
        <v>212</v>
      </c>
    </row>
    <row r="20" customFormat="false" ht="350.7" hidden="false" customHeight="false" outlineLevel="0" collapsed="false">
      <c r="A20" s="13" t="n">
        <v>19</v>
      </c>
      <c r="B20" s="13" t="s">
        <v>98</v>
      </c>
      <c r="C20" s="13" t="s">
        <v>391</v>
      </c>
      <c r="D20" s="13" t="s">
        <v>8</v>
      </c>
      <c r="E20" s="13" t="s">
        <v>392</v>
      </c>
      <c r="F20" s="13" t="s">
        <v>20</v>
      </c>
      <c r="G20" s="14" t="s">
        <v>393</v>
      </c>
      <c r="H20" s="14" t="s">
        <v>394</v>
      </c>
      <c r="I20" s="14" t="s">
        <v>395</v>
      </c>
      <c r="J20" s="14" t="s">
        <v>396</v>
      </c>
      <c r="K20" s="14" t="s">
        <v>397</v>
      </c>
      <c r="L20" s="14" t="s">
        <v>398</v>
      </c>
      <c r="M20" s="14" t="s">
        <v>399</v>
      </c>
      <c r="N20" s="14" t="s">
        <v>400</v>
      </c>
      <c r="O20" s="11" t="s">
        <v>401</v>
      </c>
      <c r="P20" s="11" t="s">
        <v>212</v>
      </c>
    </row>
    <row r="21" customFormat="false" ht="3276.75" hidden="false" customHeight="false" outlineLevel="0" collapsed="false">
      <c r="A21" s="13" t="n">
        <v>20</v>
      </c>
      <c r="B21" s="13" t="s">
        <v>100</v>
      </c>
      <c r="C21" s="13" t="s">
        <v>402</v>
      </c>
      <c r="D21" s="13" t="s">
        <v>8</v>
      </c>
      <c r="E21" s="13" t="s">
        <v>318</v>
      </c>
      <c r="F21" s="13" t="s">
        <v>70</v>
      </c>
      <c r="G21" s="14" t="s">
        <v>403</v>
      </c>
      <c r="H21" s="14" t="s">
        <v>404</v>
      </c>
      <c r="I21" s="14" t="s">
        <v>405</v>
      </c>
      <c r="J21" s="14" t="s">
        <v>406</v>
      </c>
      <c r="K21" s="14" t="s">
        <v>407</v>
      </c>
      <c r="L21" s="14" t="s">
        <v>408</v>
      </c>
      <c r="M21" s="14" t="s">
        <v>409</v>
      </c>
      <c r="N21" s="14" t="s">
        <v>410</v>
      </c>
      <c r="O21" s="11" t="s">
        <v>411</v>
      </c>
      <c r="P21" s="11" t="s">
        <v>212</v>
      </c>
    </row>
    <row r="22" customFormat="false" ht="364.15" hidden="false" customHeight="false" outlineLevel="0" collapsed="false">
      <c r="A22" s="13" t="n">
        <v>21</v>
      </c>
      <c r="B22" s="13" t="s">
        <v>102</v>
      </c>
      <c r="C22" s="13" t="s">
        <v>412</v>
      </c>
      <c r="D22" s="13" t="s">
        <v>8</v>
      </c>
      <c r="E22" s="13" t="s">
        <v>266</v>
      </c>
      <c r="F22" s="13" t="s">
        <v>63</v>
      </c>
      <c r="G22" s="14" t="s">
        <v>413</v>
      </c>
      <c r="H22" s="14" t="s">
        <v>414</v>
      </c>
      <c r="I22" s="14" t="s">
        <v>415</v>
      </c>
      <c r="J22" s="14" t="s">
        <v>416</v>
      </c>
      <c r="K22" s="14" t="s">
        <v>417</v>
      </c>
      <c r="L22" s="14" t="s">
        <v>418</v>
      </c>
      <c r="M22" s="14" t="s">
        <v>419</v>
      </c>
      <c r="N22" s="14" t="s">
        <v>420</v>
      </c>
      <c r="O22" s="11" t="s">
        <v>421</v>
      </c>
      <c r="P22" s="11" t="s">
        <v>212</v>
      </c>
    </row>
    <row r="23" customFormat="false" ht="3276.75" hidden="false" customHeight="false" outlineLevel="0" collapsed="false">
      <c r="A23" s="13" t="n">
        <v>22</v>
      </c>
      <c r="B23" s="13" t="s">
        <v>104</v>
      </c>
      <c r="C23" s="13" t="s">
        <v>422</v>
      </c>
      <c r="D23" s="13" t="s">
        <v>8</v>
      </c>
      <c r="E23" s="13" t="s">
        <v>214</v>
      </c>
      <c r="F23" s="13" t="s">
        <v>70</v>
      </c>
      <c r="G23" s="14" t="s">
        <v>423</v>
      </c>
      <c r="H23" s="14" t="s">
        <v>424</v>
      </c>
      <c r="I23" s="14" t="s">
        <v>425</v>
      </c>
      <c r="J23" s="14" t="s">
        <v>426</v>
      </c>
      <c r="K23" s="14" t="s">
        <v>427</v>
      </c>
      <c r="L23" s="14" t="s">
        <v>428</v>
      </c>
      <c r="M23" s="14" t="s">
        <v>429</v>
      </c>
      <c r="N23" s="14" t="s">
        <v>430</v>
      </c>
      <c r="O23" s="11" t="s">
        <v>431</v>
      </c>
      <c r="P23" s="11" t="s">
        <v>212</v>
      </c>
    </row>
    <row r="24" customFormat="false" ht="417.9" hidden="false" customHeight="false" outlineLevel="0" collapsed="false">
      <c r="A24" s="13" t="n">
        <v>23</v>
      </c>
      <c r="B24" s="13" t="s">
        <v>106</v>
      </c>
      <c r="C24" s="13" t="s">
        <v>106</v>
      </c>
      <c r="D24" s="13" t="s">
        <v>8</v>
      </c>
      <c r="E24" s="13" t="s">
        <v>432</v>
      </c>
      <c r="F24" s="13" t="s">
        <v>67</v>
      </c>
      <c r="G24" s="14" t="s">
        <v>433</v>
      </c>
      <c r="H24" s="14" t="s">
        <v>434</v>
      </c>
      <c r="I24" s="14" t="s">
        <v>435</v>
      </c>
      <c r="J24" s="14" t="s">
        <v>436</v>
      </c>
      <c r="K24" s="14" t="s">
        <v>437</v>
      </c>
      <c r="L24" s="14" t="s">
        <v>438</v>
      </c>
      <c r="M24" s="14" t="s">
        <v>439</v>
      </c>
      <c r="N24" s="14" t="s">
        <v>440</v>
      </c>
      <c r="O24" s="11" t="s">
        <v>441</v>
      </c>
      <c r="P24" s="11" t="s">
        <v>212</v>
      </c>
    </row>
    <row r="25" customFormat="false" ht="377.6" hidden="false" customHeight="false" outlineLevel="0" collapsed="false">
      <c r="A25" s="13" t="n">
        <v>24</v>
      </c>
      <c r="B25" s="13" t="s">
        <v>108</v>
      </c>
      <c r="C25" s="13" t="s">
        <v>442</v>
      </c>
      <c r="D25" s="13" t="s">
        <v>8</v>
      </c>
      <c r="E25" s="13" t="s">
        <v>443</v>
      </c>
      <c r="F25" s="13" t="s">
        <v>109</v>
      </c>
      <c r="G25" s="14" t="s">
        <v>444</v>
      </c>
      <c r="H25" s="14" t="s">
        <v>445</v>
      </c>
      <c r="I25" s="14" t="s">
        <v>446</v>
      </c>
      <c r="J25" s="14" t="s">
        <v>447</v>
      </c>
      <c r="K25" s="14" t="s">
        <v>448</v>
      </c>
      <c r="L25" s="14" t="s">
        <v>449</v>
      </c>
      <c r="M25" s="14" t="s">
        <v>450</v>
      </c>
      <c r="N25" s="14" t="s">
        <v>451</v>
      </c>
      <c r="O25" s="11" t="s">
        <v>452</v>
      </c>
      <c r="P25" s="11" t="s">
        <v>212</v>
      </c>
    </row>
    <row r="26" customFormat="false" ht="323.85" hidden="false" customHeight="false" outlineLevel="0" collapsed="false">
      <c r="A26" s="13" t="n">
        <v>25</v>
      </c>
      <c r="B26" s="13" t="s">
        <v>111</v>
      </c>
      <c r="C26" s="13" t="s">
        <v>111</v>
      </c>
      <c r="D26" s="13" t="s">
        <v>8</v>
      </c>
      <c r="E26" s="13" t="s">
        <v>266</v>
      </c>
      <c r="F26" s="13" t="s">
        <v>19</v>
      </c>
      <c r="G26" s="14" t="s">
        <v>453</v>
      </c>
      <c r="H26" s="14" t="s">
        <v>454</v>
      </c>
      <c r="I26" s="14" t="s">
        <v>455</v>
      </c>
      <c r="J26" s="14" t="s">
        <v>456</v>
      </c>
      <c r="K26" s="14" t="s">
        <v>457</v>
      </c>
      <c r="L26" s="14" t="s">
        <v>458</v>
      </c>
      <c r="M26" s="14" t="s">
        <v>459</v>
      </c>
      <c r="N26" s="14" t="s">
        <v>460</v>
      </c>
      <c r="O26" s="11" t="s">
        <v>461</v>
      </c>
      <c r="P26" s="11" t="s">
        <v>212</v>
      </c>
    </row>
    <row r="27" customFormat="false" ht="364.15" hidden="false" customHeight="false" outlineLevel="0" collapsed="false">
      <c r="A27" s="13" t="n">
        <v>26</v>
      </c>
      <c r="B27" s="13" t="s">
        <v>113</v>
      </c>
      <c r="C27" s="13" t="s">
        <v>462</v>
      </c>
      <c r="D27" s="13" t="s">
        <v>8</v>
      </c>
      <c r="E27" s="13" t="s">
        <v>202</v>
      </c>
      <c r="F27" s="13" t="s">
        <v>50</v>
      </c>
      <c r="G27" s="14" t="s">
        <v>463</v>
      </c>
      <c r="H27" s="14" t="s">
        <v>464</v>
      </c>
      <c r="I27" s="14" t="s">
        <v>465</v>
      </c>
      <c r="J27" s="14" t="s">
        <v>466</v>
      </c>
      <c r="K27" s="14" t="s">
        <v>467</v>
      </c>
      <c r="L27" s="14" t="s">
        <v>468</v>
      </c>
      <c r="M27" s="14" t="s">
        <v>469</v>
      </c>
      <c r="N27" s="14" t="s">
        <v>470</v>
      </c>
      <c r="O27" s="11" t="s">
        <v>471</v>
      </c>
      <c r="P27" s="11" t="s">
        <v>212</v>
      </c>
    </row>
    <row r="28" customFormat="false" ht="337.3" hidden="false" customHeight="false" outlineLevel="0" collapsed="false">
      <c r="A28" s="13" t="n">
        <v>27</v>
      </c>
      <c r="B28" s="13" t="s">
        <v>115</v>
      </c>
      <c r="C28" s="13" t="s">
        <v>472</v>
      </c>
      <c r="D28" s="13" t="s">
        <v>8</v>
      </c>
      <c r="E28" s="13" t="s">
        <v>473</v>
      </c>
      <c r="F28" s="13" t="s">
        <v>70</v>
      </c>
      <c r="G28" s="14" t="s">
        <v>474</v>
      </c>
      <c r="H28" s="14" t="s">
        <v>475</v>
      </c>
      <c r="I28" s="14" t="s">
        <v>476</v>
      </c>
      <c r="J28" s="14" t="s">
        <v>477</v>
      </c>
      <c r="K28" s="14" t="s">
        <v>478</v>
      </c>
      <c r="L28" s="14" t="s">
        <v>479</v>
      </c>
      <c r="M28" s="14" t="s">
        <v>480</v>
      </c>
      <c r="N28" s="14" t="s">
        <v>481</v>
      </c>
      <c r="O28" s="11" t="s">
        <v>482</v>
      </c>
      <c r="P28" s="11" t="s">
        <v>212</v>
      </c>
    </row>
    <row r="29" customFormat="false" ht="377.6" hidden="false" customHeight="false" outlineLevel="0" collapsed="false">
      <c r="A29" s="13" t="n">
        <v>28</v>
      </c>
      <c r="B29" s="13" t="s">
        <v>118</v>
      </c>
      <c r="C29" s="13" t="s">
        <v>483</v>
      </c>
      <c r="D29" s="13" t="s">
        <v>8</v>
      </c>
      <c r="E29" s="13" t="s">
        <v>266</v>
      </c>
      <c r="F29" s="13" t="s">
        <v>22</v>
      </c>
      <c r="G29" s="14" t="s">
        <v>484</v>
      </c>
      <c r="H29" s="14" t="s">
        <v>485</v>
      </c>
      <c r="I29" s="14" t="s">
        <v>486</v>
      </c>
      <c r="J29" s="14" t="s">
        <v>487</v>
      </c>
      <c r="K29" s="14" t="s">
        <v>488</v>
      </c>
      <c r="L29" s="14" t="s">
        <v>489</v>
      </c>
      <c r="M29" s="14" t="s">
        <v>490</v>
      </c>
      <c r="N29" s="14" t="s">
        <v>491</v>
      </c>
      <c r="O29" s="11" t="s">
        <v>492</v>
      </c>
      <c r="P29" s="11" t="s">
        <v>212</v>
      </c>
    </row>
    <row r="30" customFormat="false" ht="404.45" hidden="false" customHeight="false" outlineLevel="0" collapsed="false">
      <c r="A30" s="13" t="n">
        <v>29</v>
      </c>
      <c r="B30" s="13" t="s">
        <v>120</v>
      </c>
      <c r="C30" s="13" t="s">
        <v>493</v>
      </c>
      <c r="D30" s="13" t="s">
        <v>8</v>
      </c>
      <c r="E30" s="13" t="s">
        <v>214</v>
      </c>
      <c r="F30" s="13" t="s">
        <v>89</v>
      </c>
      <c r="G30" s="14" t="s">
        <v>494</v>
      </c>
      <c r="H30" s="14" t="s">
        <v>495</v>
      </c>
      <c r="I30" s="14" t="s">
        <v>496</v>
      </c>
      <c r="J30" s="14" t="s">
        <v>497</v>
      </c>
      <c r="K30" s="14" t="s">
        <v>498</v>
      </c>
      <c r="L30" s="14" t="s">
        <v>499</v>
      </c>
      <c r="M30" s="14" t="s">
        <v>500</v>
      </c>
      <c r="N30" s="14" t="s">
        <v>501</v>
      </c>
      <c r="O30" s="11" t="s">
        <v>502</v>
      </c>
      <c r="P30" s="11" t="s">
        <v>212</v>
      </c>
    </row>
    <row r="31" customFormat="false" ht="364.15" hidden="false" customHeight="false" outlineLevel="0" collapsed="false">
      <c r="A31" s="13" t="n">
        <v>30</v>
      </c>
      <c r="B31" s="13" t="s">
        <v>122</v>
      </c>
      <c r="C31" s="13" t="s">
        <v>503</v>
      </c>
      <c r="D31" s="13" t="s">
        <v>8</v>
      </c>
      <c r="E31" s="13" t="s">
        <v>214</v>
      </c>
      <c r="F31" s="13" t="s">
        <v>20</v>
      </c>
      <c r="G31" s="14" t="s">
        <v>504</v>
      </c>
      <c r="H31" s="14" t="s">
        <v>505</v>
      </c>
      <c r="I31" s="14" t="s">
        <v>506</v>
      </c>
      <c r="J31" s="14" t="s">
        <v>507</v>
      </c>
      <c r="K31" s="14" t="s">
        <v>508</v>
      </c>
      <c r="L31" s="14" t="s">
        <v>509</v>
      </c>
      <c r="M31" s="14" t="s">
        <v>510</v>
      </c>
      <c r="N31" s="14" t="s">
        <v>511</v>
      </c>
      <c r="O31" s="11" t="s">
        <v>512</v>
      </c>
      <c r="P31" s="11" t="s">
        <v>212</v>
      </c>
    </row>
    <row r="32" customFormat="false" ht="350.7" hidden="false" customHeight="false" outlineLevel="0" collapsed="false">
      <c r="A32" s="13" t="n">
        <v>31</v>
      </c>
      <c r="B32" s="13" t="s">
        <v>124</v>
      </c>
      <c r="C32" s="13" t="s">
        <v>513</v>
      </c>
      <c r="D32" s="13" t="s">
        <v>8</v>
      </c>
      <c r="E32" s="13" t="s">
        <v>225</v>
      </c>
      <c r="F32" s="13" t="s">
        <v>59</v>
      </c>
      <c r="G32" s="14" t="s">
        <v>514</v>
      </c>
      <c r="H32" s="14" t="s">
        <v>515</v>
      </c>
      <c r="I32" s="14" t="s">
        <v>516</v>
      </c>
      <c r="J32" s="14" t="s">
        <v>517</v>
      </c>
      <c r="K32" s="14" t="s">
        <v>518</v>
      </c>
      <c r="L32" s="14" t="s">
        <v>519</v>
      </c>
      <c r="M32" s="14" t="s">
        <v>520</v>
      </c>
      <c r="N32" s="14" t="s">
        <v>521</v>
      </c>
      <c r="O32" s="11" t="s">
        <v>522</v>
      </c>
      <c r="P32" s="11" t="s">
        <v>212</v>
      </c>
    </row>
    <row r="33" customFormat="false" ht="404.45" hidden="false" customHeight="false" outlineLevel="0" collapsed="false">
      <c r="A33" s="13" t="n">
        <v>32</v>
      </c>
      <c r="B33" s="13" t="s">
        <v>126</v>
      </c>
      <c r="C33" s="13" t="s">
        <v>126</v>
      </c>
      <c r="D33" s="13" t="s">
        <v>8</v>
      </c>
      <c r="E33" s="13" t="s">
        <v>225</v>
      </c>
      <c r="F33" s="13" t="s">
        <v>109</v>
      </c>
      <c r="G33" s="14" t="s">
        <v>523</v>
      </c>
      <c r="H33" s="14" t="s">
        <v>524</v>
      </c>
      <c r="I33" s="14" t="s">
        <v>525</v>
      </c>
      <c r="J33" s="14" t="s">
        <v>526</v>
      </c>
      <c r="K33" s="14" t="s">
        <v>527</v>
      </c>
      <c r="L33" s="14" t="s">
        <v>528</v>
      </c>
      <c r="M33" s="14" t="s">
        <v>529</v>
      </c>
      <c r="N33" s="14" t="s">
        <v>530</v>
      </c>
      <c r="O33" s="11" t="s">
        <v>531</v>
      </c>
      <c r="P33" s="11" t="s">
        <v>212</v>
      </c>
    </row>
    <row r="34" customFormat="false" ht="364.15" hidden="false" customHeight="false" outlineLevel="0" collapsed="false">
      <c r="A34" s="13" t="n">
        <v>33</v>
      </c>
      <c r="B34" s="13" t="s">
        <v>128</v>
      </c>
      <c r="C34" s="13" t="s">
        <v>532</v>
      </c>
      <c r="D34" s="13" t="s">
        <v>8</v>
      </c>
      <c r="E34" s="13" t="s">
        <v>533</v>
      </c>
      <c r="F34" s="13" t="s">
        <v>19</v>
      </c>
      <c r="G34" s="14" t="s">
        <v>534</v>
      </c>
      <c r="H34" s="14" t="s">
        <v>535</v>
      </c>
      <c r="I34" s="14" t="s">
        <v>536</v>
      </c>
      <c r="J34" s="14" t="s">
        <v>537</v>
      </c>
      <c r="K34" s="14" t="s">
        <v>538</v>
      </c>
      <c r="L34" s="14" t="s">
        <v>539</v>
      </c>
      <c r="M34" s="14" t="s">
        <v>540</v>
      </c>
      <c r="N34" s="14" t="s">
        <v>541</v>
      </c>
      <c r="O34" s="11" t="s">
        <v>542</v>
      </c>
      <c r="P34" s="11" t="s">
        <v>212</v>
      </c>
    </row>
    <row r="35" customFormat="false" ht="283.55" hidden="false" customHeight="false" outlineLevel="0" collapsed="false">
      <c r="A35" s="13" t="n">
        <v>34</v>
      </c>
      <c r="B35" s="13" t="s">
        <v>130</v>
      </c>
      <c r="C35" s="13" t="s">
        <v>543</v>
      </c>
      <c r="D35" s="13" t="s">
        <v>8</v>
      </c>
      <c r="E35" s="13" t="s">
        <v>266</v>
      </c>
      <c r="F35" s="13" t="s">
        <v>22</v>
      </c>
      <c r="G35" s="14" t="s">
        <v>544</v>
      </c>
      <c r="H35" s="14" t="s">
        <v>545</v>
      </c>
      <c r="I35" s="14" t="s">
        <v>546</v>
      </c>
      <c r="J35" s="14" t="s">
        <v>547</v>
      </c>
      <c r="K35" s="14" t="s">
        <v>548</v>
      </c>
      <c r="L35" s="14" t="s">
        <v>549</v>
      </c>
      <c r="M35" s="14" t="s">
        <v>550</v>
      </c>
      <c r="N35" s="14" t="s">
        <v>551</v>
      </c>
      <c r="O35" s="11" t="s">
        <v>552</v>
      </c>
      <c r="P35" s="11" t="s">
        <v>212</v>
      </c>
    </row>
    <row r="36" customFormat="false" ht="485.05" hidden="false" customHeight="false" outlineLevel="0" collapsed="false">
      <c r="A36" s="13" t="n">
        <v>35</v>
      </c>
      <c r="B36" s="13" t="s">
        <v>132</v>
      </c>
      <c r="C36" s="13" t="s">
        <v>553</v>
      </c>
      <c r="D36" s="13" t="s">
        <v>8</v>
      </c>
      <c r="E36" s="13" t="s">
        <v>339</v>
      </c>
      <c r="F36" s="13" t="s">
        <v>22</v>
      </c>
      <c r="G36" s="14" t="s">
        <v>554</v>
      </c>
      <c r="H36" s="14" t="s">
        <v>555</v>
      </c>
      <c r="I36" s="14" t="s">
        <v>556</v>
      </c>
      <c r="J36" s="14" t="s">
        <v>557</v>
      </c>
      <c r="K36" s="14" t="s">
        <v>558</v>
      </c>
      <c r="L36" s="14" t="s">
        <v>559</v>
      </c>
      <c r="M36" s="14" t="s">
        <v>560</v>
      </c>
      <c r="N36" s="14" t="s">
        <v>561</v>
      </c>
      <c r="O36" s="11" t="s">
        <v>562</v>
      </c>
      <c r="P36" s="11" t="s">
        <v>212</v>
      </c>
    </row>
    <row r="37" customFormat="false" ht="833.55" hidden="false" customHeight="false" outlineLevel="0" collapsed="false">
      <c r="A37" s="13" t="n">
        <v>36</v>
      </c>
      <c r="B37" s="13" t="s">
        <v>134</v>
      </c>
      <c r="C37" s="13" t="s">
        <v>563</v>
      </c>
      <c r="D37" s="13" t="s">
        <v>8</v>
      </c>
      <c r="E37" s="13" t="s">
        <v>214</v>
      </c>
      <c r="F37" s="13" t="s">
        <v>20</v>
      </c>
      <c r="G37" s="14" t="s">
        <v>564</v>
      </c>
      <c r="H37" s="14" t="s">
        <v>565</v>
      </c>
      <c r="I37" s="14" t="s">
        <v>566</v>
      </c>
      <c r="J37" s="14" t="s">
        <v>567</v>
      </c>
      <c r="K37" s="14" t="s">
        <v>568</v>
      </c>
      <c r="L37" s="14" t="s">
        <v>569</v>
      </c>
      <c r="M37" s="14" t="s">
        <v>570</v>
      </c>
      <c r="N37" s="14" t="s">
        <v>571</v>
      </c>
      <c r="O37" s="11" t="s">
        <v>572</v>
      </c>
      <c r="P37" s="11" t="s">
        <v>212</v>
      </c>
    </row>
    <row r="38" customFormat="false" ht="887.3" hidden="false" customHeight="false" outlineLevel="0" collapsed="false">
      <c r="A38" s="13" t="n">
        <v>37</v>
      </c>
      <c r="B38" s="13" t="s">
        <v>136</v>
      </c>
      <c r="C38" s="13" t="s">
        <v>573</v>
      </c>
      <c r="D38" s="13" t="s">
        <v>8</v>
      </c>
      <c r="E38" s="13" t="s">
        <v>214</v>
      </c>
      <c r="F38" s="13" t="s">
        <v>20</v>
      </c>
      <c r="G38" s="14" t="s">
        <v>574</v>
      </c>
      <c r="H38" s="14" t="s">
        <v>575</v>
      </c>
      <c r="I38" s="14" t="s">
        <v>576</v>
      </c>
      <c r="J38" s="14" t="s">
        <v>577</v>
      </c>
      <c r="K38" s="14" t="s">
        <v>578</v>
      </c>
      <c r="L38" s="14" t="s">
        <v>579</v>
      </c>
      <c r="M38" s="14" t="s">
        <v>580</v>
      </c>
      <c r="N38" s="14" t="s">
        <v>581</v>
      </c>
      <c r="O38" s="11" t="s">
        <v>582</v>
      </c>
      <c r="P38" s="11" t="s">
        <v>212</v>
      </c>
    </row>
    <row r="39" customFormat="false" ht="471.6" hidden="false" customHeight="false" outlineLevel="0" collapsed="false">
      <c r="A39" s="13" t="n">
        <v>38</v>
      </c>
      <c r="B39" s="13" t="s">
        <v>138</v>
      </c>
      <c r="C39" s="13" t="s">
        <v>583</v>
      </c>
      <c r="D39" s="13" t="s">
        <v>8</v>
      </c>
      <c r="E39" s="13" t="s">
        <v>533</v>
      </c>
      <c r="F39" s="13" t="s">
        <v>19</v>
      </c>
      <c r="G39" s="14" t="s">
        <v>584</v>
      </c>
      <c r="H39" s="14" t="s">
        <v>585</v>
      </c>
      <c r="I39" s="14" t="s">
        <v>586</v>
      </c>
      <c r="J39" s="14" t="s">
        <v>587</v>
      </c>
      <c r="K39" s="14" t="s">
        <v>588</v>
      </c>
      <c r="L39" s="14" t="s">
        <v>589</v>
      </c>
      <c r="M39" s="14" t="s">
        <v>590</v>
      </c>
      <c r="N39" s="14" t="s">
        <v>591</v>
      </c>
      <c r="O39" s="11" t="s">
        <v>592</v>
      </c>
      <c r="P39" s="11" t="s">
        <v>212</v>
      </c>
    </row>
    <row r="40" customFormat="false" ht="350.7" hidden="false" customHeight="false" outlineLevel="0" collapsed="false">
      <c r="A40" s="13" t="n">
        <v>39</v>
      </c>
      <c r="B40" s="13" t="s">
        <v>140</v>
      </c>
      <c r="C40" s="13" t="s">
        <v>593</v>
      </c>
      <c r="D40" s="13" t="s">
        <v>8</v>
      </c>
      <c r="E40" s="13" t="s">
        <v>202</v>
      </c>
      <c r="F40" s="13" t="s">
        <v>67</v>
      </c>
      <c r="G40" s="14" t="s">
        <v>594</v>
      </c>
      <c r="H40" s="14" t="s">
        <v>595</v>
      </c>
      <c r="I40" s="14" t="s">
        <v>596</v>
      </c>
      <c r="J40" s="14" t="s">
        <v>597</v>
      </c>
      <c r="K40" s="14" t="s">
        <v>598</v>
      </c>
      <c r="L40" s="14" t="s">
        <v>599</v>
      </c>
      <c r="M40" s="14" t="s">
        <v>600</v>
      </c>
      <c r="N40" s="14" t="s">
        <v>601</v>
      </c>
      <c r="O40" s="11" t="s">
        <v>602</v>
      </c>
      <c r="P40" s="11" t="s">
        <v>212</v>
      </c>
    </row>
    <row r="41" customFormat="false" ht="377.6" hidden="false" customHeight="false" outlineLevel="0" collapsed="false">
      <c r="A41" s="13" t="n">
        <v>40</v>
      </c>
      <c r="B41" s="13" t="s">
        <v>142</v>
      </c>
      <c r="C41" s="13" t="s">
        <v>603</v>
      </c>
      <c r="D41" s="13" t="s">
        <v>8</v>
      </c>
      <c r="E41" s="13" t="s">
        <v>202</v>
      </c>
      <c r="F41" s="13" t="s">
        <v>67</v>
      </c>
      <c r="G41" s="14" t="s">
        <v>604</v>
      </c>
      <c r="H41" s="14" t="s">
        <v>605</v>
      </c>
      <c r="I41" s="14" t="s">
        <v>606</v>
      </c>
      <c r="J41" s="14" t="s">
        <v>607</v>
      </c>
      <c r="K41" s="14" t="s">
        <v>608</v>
      </c>
      <c r="L41" s="14" t="s">
        <v>609</v>
      </c>
      <c r="M41" s="14" t="s">
        <v>610</v>
      </c>
      <c r="N41" s="14" t="s">
        <v>611</v>
      </c>
      <c r="O41" s="11" t="s">
        <v>612</v>
      </c>
      <c r="P41" s="11" t="s">
        <v>212</v>
      </c>
    </row>
    <row r="42" customFormat="false" ht="323.85" hidden="false" customHeight="false" outlineLevel="0" collapsed="false">
      <c r="A42" s="13" t="n">
        <v>41</v>
      </c>
      <c r="B42" s="13" t="s">
        <v>144</v>
      </c>
      <c r="C42" s="13" t="s">
        <v>613</v>
      </c>
      <c r="D42" s="13" t="s">
        <v>8</v>
      </c>
      <c r="E42" s="13" t="s">
        <v>225</v>
      </c>
      <c r="F42" s="13" t="s">
        <v>21</v>
      </c>
      <c r="G42" s="14" t="s">
        <v>614</v>
      </c>
      <c r="H42" s="14" t="s">
        <v>615</v>
      </c>
      <c r="I42" s="14" t="s">
        <v>616</v>
      </c>
      <c r="J42" s="14" t="s">
        <v>617</v>
      </c>
      <c r="K42" s="14" t="s">
        <v>618</v>
      </c>
      <c r="L42" s="14" t="s">
        <v>619</v>
      </c>
      <c r="M42" s="14" t="s">
        <v>620</v>
      </c>
      <c r="N42" s="14" t="s">
        <v>621</v>
      </c>
      <c r="O42" s="11" t="s">
        <v>622</v>
      </c>
      <c r="P42" s="11" t="s">
        <v>212</v>
      </c>
    </row>
    <row r="43" customFormat="false" ht="364.15" hidden="false" customHeight="false" outlineLevel="0" collapsed="false">
      <c r="A43" s="13" t="n">
        <v>42</v>
      </c>
      <c r="B43" s="13" t="s">
        <v>146</v>
      </c>
      <c r="C43" s="13" t="s">
        <v>623</v>
      </c>
      <c r="D43" s="13" t="s">
        <v>8</v>
      </c>
      <c r="E43" s="13" t="s">
        <v>245</v>
      </c>
      <c r="F43" s="13" t="s">
        <v>22</v>
      </c>
      <c r="G43" s="14" t="s">
        <v>624</v>
      </c>
      <c r="H43" s="14" t="s">
        <v>625</v>
      </c>
      <c r="I43" s="14" t="s">
        <v>626</v>
      </c>
      <c r="J43" s="14" t="s">
        <v>627</v>
      </c>
      <c r="K43" s="14" t="s">
        <v>628</v>
      </c>
      <c r="L43" s="14" t="s">
        <v>629</v>
      </c>
      <c r="M43" s="14" t="s">
        <v>630</v>
      </c>
      <c r="N43" s="14" t="s">
        <v>631</v>
      </c>
      <c r="O43" s="11" t="s">
        <v>632</v>
      </c>
      <c r="P43" s="11" t="s">
        <v>212</v>
      </c>
    </row>
    <row r="44" customFormat="false" ht="498.5" hidden="false" customHeight="false" outlineLevel="0" collapsed="false">
      <c r="A44" s="13" t="n">
        <v>43</v>
      </c>
      <c r="B44" s="13" t="s">
        <v>148</v>
      </c>
      <c r="C44" s="13" t="s">
        <v>633</v>
      </c>
      <c r="D44" s="13" t="s">
        <v>8</v>
      </c>
      <c r="E44" s="13" t="s">
        <v>266</v>
      </c>
      <c r="F44" s="13" t="s">
        <v>109</v>
      </c>
      <c r="G44" s="14" t="s">
        <v>634</v>
      </c>
      <c r="H44" s="14" t="s">
        <v>635</v>
      </c>
      <c r="I44" s="14" t="s">
        <v>636</v>
      </c>
      <c r="J44" s="14" t="s">
        <v>637</v>
      </c>
      <c r="K44" s="14" t="s">
        <v>638</v>
      </c>
      <c r="L44" s="14" t="s">
        <v>639</v>
      </c>
      <c r="M44" s="14" t="s">
        <v>640</v>
      </c>
      <c r="N44" s="14" t="s">
        <v>641</v>
      </c>
      <c r="O44" s="11" t="s">
        <v>642</v>
      </c>
      <c r="P44" s="11" t="s">
        <v>212</v>
      </c>
    </row>
    <row r="45" customFormat="false" ht="323.85" hidden="false" customHeight="false" outlineLevel="0" collapsed="false">
      <c r="A45" s="13" t="n">
        <v>44</v>
      </c>
      <c r="B45" s="13" t="s">
        <v>151</v>
      </c>
      <c r="C45" s="13" t="s">
        <v>643</v>
      </c>
      <c r="D45" s="13" t="s">
        <v>8</v>
      </c>
      <c r="E45" s="13" t="s">
        <v>339</v>
      </c>
      <c r="F45" s="13" t="s">
        <v>22</v>
      </c>
      <c r="G45" s="14" t="s">
        <v>644</v>
      </c>
      <c r="H45" s="14" t="s">
        <v>645</v>
      </c>
      <c r="I45" s="14" t="s">
        <v>646</v>
      </c>
      <c r="J45" s="14" t="s">
        <v>647</v>
      </c>
      <c r="K45" s="14" t="s">
        <v>648</v>
      </c>
      <c r="L45" s="14" t="s">
        <v>649</v>
      </c>
      <c r="M45" s="14" t="s">
        <v>650</v>
      </c>
      <c r="N45" s="14" t="s">
        <v>651</v>
      </c>
      <c r="O45" s="11" t="s">
        <v>652</v>
      </c>
      <c r="P45" s="11" t="s">
        <v>212</v>
      </c>
    </row>
    <row r="46" customFormat="false" ht="350.7" hidden="false" customHeight="false" outlineLevel="0" collapsed="false">
      <c r="A46" s="13" t="n">
        <v>45</v>
      </c>
      <c r="B46" s="13" t="s">
        <v>153</v>
      </c>
      <c r="C46" s="13" t="s">
        <v>153</v>
      </c>
      <c r="D46" s="13" t="s">
        <v>8</v>
      </c>
      <c r="E46" s="13" t="s">
        <v>307</v>
      </c>
      <c r="F46" s="13" t="s">
        <v>22</v>
      </c>
      <c r="G46" s="14" t="s">
        <v>653</v>
      </c>
      <c r="H46" s="14" t="s">
        <v>654</v>
      </c>
      <c r="I46" s="14" t="s">
        <v>655</v>
      </c>
      <c r="J46" s="14" t="s">
        <v>656</v>
      </c>
      <c r="K46" s="14" t="s">
        <v>657</v>
      </c>
      <c r="L46" s="14" t="s">
        <v>658</v>
      </c>
      <c r="M46" s="14" t="s">
        <v>659</v>
      </c>
      <c r="N46" s="14" t="s">
        <v>660</v>
      </c>
      <c r="O46" s="11" t="s">
        <v>661</v>
      </c>
      <c r="P46" s="11" t="s">
        <v>212</v>
      </c>
    </row>
    <row r="47" customFormat="false" ht="404.45" hidden="false" customHeight="false" outlineLevel="0" collapsed="false">
      <c r="A47" s="13" t="n">
        <v>46</v>
      </c>
      <c r="B47" s="13" t="s">
        <v>155</v>
      </c>
      <c r="C47" s="13" t="s">
        <v>662</v>
      </c>
      <c r="D47" s="13" t="s">
        <v>8</v>
      </c>
      <c r="E47" s="13" t="s">
        <v>256</v>
      </c>
      <c r="F47" s="13" t="s">
        <v>67</v>
      </c>
      <c r="G47" s="14" t="s">
        <v>663</v>
      </c>
      <c r="H47" s="14" t="s">
        <v>664</v>
      </c>
      <c r="I47" s="14" t="s">
        <v>665</v>
      </c>
      <c r="J47" s="14" t="s">
        <v>666</v>
      </c>
      <c r="K47" s="14" t="s">
        <v>667</v>
      </c>
      <c r="L47" s="14" t="s">
        <v>668</v>
      </c>
      <c r="M47" s="14" t="s">
        <v>669</v>
      </c>
      <c r="N47" s="14" t="s">
        <v>670</v>
      </c>
      <c r="O47" s="11" t="s">
        <v>671</v>
      </c>
      <c r="P47" s="11" t="s">
        <v>212</v>
      </c>
    </row>
    <row r="48" customFormat="false" ht="364.15" hidden="false" customHeight="false" outlineLevel="0" collapsed="false">
      <c r="A48" s="13" t="n">
        <v>47</v>
      </c>
      <c r="B48" s="13" t="s">
        <v>157</v>
      </c>
      <c r="C48" s="13" t="s">
        <v>672</v>
      </c>
      <c r="D48" s="13" t="s">
        <v>8</v>
      </c>
      <c r="E48" s="13" t="s">
        <v>214</v>
      </c>
      <c r="F48" s="13" t="s">
        <v>67</v>
      </c>
      <c r="G48" s="14" t="s">
        <v>673</v>
      </c>
      <c r="H48" s="14" t="s">
        <v>674</v>
      </c>
      <c r="I48" s="14" t="s">
        <v>675</v>
      </c>
      <c r="J48" s="14" t="s">
        <v>676</v>
      </c>
      <c r="K48" s="14" t="s">
        <v>677</v>
      </c>
      <c r="L48" s="14" t="s">
        <v>678</v>
      </c>
      <c r="M48" s="14" t="s">
        <v>679</v>
      </c>
      <c r="N48" s="14" t="s">
        <v>680</v>
      </c>
      <c r="O48" s="11" t="s">
        <v>681</v>
      </c>
      <c r="P48" s="11" t="s">
        <v>212</v>
      </c>
    </row>
    <row r="49" customFormat="false" ht="417.9" hidden="false" customHeight="false" outlineLevel="0" collapsed="false">
      <c r="A49" s="13" t="n">
        <v>48</v>
      </c>
      <c r="B49" s="13" t="s">
        <v>159</v>
      </c>
      <c r="C49" s="13" t="s">
        <v>682</v>
      </c>
      <c r="D49" s="13" t="s">
        <v>8</v>
      </c>
      <c r="E49" s="13" t="s">
        <v>214</v>
      </c>
      <c r="F49" s="13" t="s">
        <v>116</v>
      </c>
      <c r="G49" s="14" t="s">
        <v>683</v>
      </c>
      <c r="H49" s="14" t="s">
        <v>684</v>
      </c>
      <c r="I49" s="14" t="s">
        <v>685</v>
      </c>
      <c r="J49" s="14" t="s">
        <v>686</v>
      </c>
      <c r="K49" s="14" t="s">
        <v>687</v>
      </c>
      <c r="L49" s="14" t="s">
        <v>688</v>
      </c>
      <c r="M49" s="14" t="s">
        <v>689</v>
      </c>
      <c r="N49" s="14" t="s">
        <v>690</v>
      </c>
      <c r="O49" s="11" t="s">
        <v>691</v>
      </c>
      <c r="P49" s="11" t="s">
        <v>212</v>
      </c>
    </row>
    <row r="50" customFormat="false" ht="337.3" hidden="false" customHeight="false" outlineLevel="0" collapsed="false">
      <c r="A50" s="13" t="n">
        <v>49</v>
      </c>
      <c r="B50" s="13" t="s">
        <v>161</v>
      </c>
      <c r="C50" s="13" t="s">
        <v>692</v>
      </c>
      <c r="D50" s="13" t="s">
        <v>8</v>
      </c>
      <c r="E50" s="13" t="s">
        <v>256</v>
      </c>
      <c r="F50" s="13" t="s">
        <v>20</v>
      </c>
      <c r="G50" s="14" t="s">
        <v>693</v>
      </c>
      <c r="H50" s="14" t="s">
        <v>694</v>
      </c>
      <c r="I50" s="14" t="s">
        <v>695</v>
      </c>
      <c r="J50" s="14" t="s">
        <v>696</v>
      </c>
      <c r="K50" s="14" t="s">
        <v>697</v>
      </c>
      <c r="L50" s="14" t="s">
        <v>698</v>
      </c>
      <c r="M50" s="14" t="s">
        <v>699</v>
      </c>
      <c r="N50" s="14" t="s">
        <v>700</v>
      </c>
      <c r="O50" s="11" t="s">
        <v>701</v>
      </c>
      <c r="P50" s="11" t="s">
        <v>212</v>
      </c>
    </row>
    <row r="51" customFormat="false" ht="323.85" hidden="false" customHeight="false" outlineLevel="0" collapsed="false">
      <c r="A51" s="13" t="n">
        <v>50</v>
      </c>
      <c r="B51" s="13" t="s">
        <v>163</v>
      </c>
      <c r="C51" s="13" t="s">
        <v>702</v>
      </c>
      <c r="D51" s="13" t="s">
        <v>8</v>
      </c>
      <c r="E51" s="13" t="s">
        <v>202</v>
      </c>
      <c r="F51" s="13" t="s">
        <v>67</v>
      </c>
      <c r="G51" s="14" t="s">
        <v>703</v>
      </c>
      <c r="H51" s="14" t="s">
        <v>704</v>
      </c>
      <c r="I51" s="14" t="s">
        <v>705</v>
      </c>
      <c r="J51" s="14" t="s">
        <v>706</v>
      </c>
      <c r="K51" s="14" t="s">
        <v>707</v>
      </c>
      <c r="L51" s="14" t="s">
        <v>708</v>
      </c>
      <c r="M51" s="14" t="s">
        <v>709</v>
      </c>
      <c r="N51" s="14" t="s">
        <v>710</v>
      </c>
      <c r="O51" s="11" t="s">
        <v>711</v>
      </c>
      <c r="P51" s="11" t="s">
        <v>212</v>
      </c>
    </row>
    <row r="52" customFormat="false" ht="243.25" hidden="false" customHeight="false" outlineLevel="0" collapsed="false">
      <c r="A52" s="13" t="n">
        <v>51</v>
      </c>
      <c r="B52" s="13" t="s">
        <v>165</v>
      </c>
      <c r="C52" s="13" t="s">
        <v>712</v>
      </c>
      <c r="D52" s="13" t="s">
        <v>8</v>
      </c>
      <c r="E52" s="13" t="s">
        <v>202</v>
      </c>
      <c r="F52" s="13" t="s">
        <v>50</v>
      </c>
      <c r="G52" s="14" t="s">
        <v>713</v>
      </c>
      <c r="H52" s="14" t="s">
        <v>714</v>
      </c>
      <c r="I52" s="14" t="s">
        <v>715</v>
      </c>
      <c r="J52" s="14" t="s">
        <v>716</v>
      </c>
      <c r="K52" s="14" t="s">
        <v>717</v>
      </c>
      <c r="L52" s="14" t="s">
        <v>718</v>
      </c>
      <c r="M52" s="14" t="s">
        <v>719</v>
      </c>
      <c r="N52" s="14" t="s">
        <v>720</v>
      </c>
      <c r="O52" s="11" t="s">
        <v>721</v>
      </c>
      <c r="P52" s="11" t="s">
        <v>212</v>
      </c>
    </row>
    <row r="53" customFormat="false" ht="323.85" hidden="false" customHeight="false" outlineLevel="0" collapsed="false">
      <c r="A53" s="13" t="n">
        <v>52</v>
      </c>
      <c r="B53" s="13" t="s">
        <v>167</v>
      </c>
      <c r="C53" s="13" t="s">
        <v>722</v>
      </c>
      <c r="D53" s="13" t="s">
        <v>8</v>
      </c>
      <c r="E53" s="13" t="s">
        <v>266</v>
      </c>
      <c r="F53" s="13" t="s">
        <v>20</v>
      </c>
      <c r="G53" s="14" t="s">
        <v>723</v>
      </c>
      <c r="H53" s="14" t="s">
        <v>724</v>
      </c>
      <c r="I53" s="14" t="s">
        <v>725</v>
      </c>
      <c r="J53" s="14" t="s">
        <v>726</v>
      </c>
      <c r="K53" s="14" t="s">
        <v>727</v>
      </c>
      <c r="L53" s="14" t="s">
        <v>728</v>
      </c>
      <c r="M53" s="14" t="s">
        <v>729</v>
      </c>
      <c r="N53" s="14" t="s">
        <v>730</v>
      </c>
      <c r="O53" s="11" t="s">
        <v>731</v>
      </c>
      <c r="P53" s="11" t="s">
        <v>212</v>
      </c>
    </row>
    <row r="54" customFormat="false" ht="364.15" hidden="false" customHeight="false" outlineLevel="0" collapsed="false">
      <c r="A54" s="13" t="n">
        <v>53</v>
      </c>
      <c r="B54" s="13" t="s">
        <v>169</v>
      </c>
      <c r="C54" s="13" t="s">
        <v>732</v>
      </c>
      <c r="D54" s="13" t="s">
        <v>8</v>
      </c>
      <c r="E54" s="13" t="s">
        <v>733</v>
      </c>
      <c r="F54" s="13" t="s">
        <v>20</v>
      </c>
      <c r="G54" s="14" t="s">
        <v>734</v>
      </c>
      <c r="H54" s="14" t="s">
        <v>735</v>
      </c>
      <c r="I54" s="14" t="s">
        <v>736</v>
      </c>
      <c r="J54" s="14" t="s">
        <v>737</v>
      </c>
      <c r="K54" s="14" t="s">
        <v>738</v>
      </c>
      <c r="L54" s="14" t="s">
        <v>739</v>
      </c>
      <c r="M54" s="14" t="s">
        <v>740</v>
      </c>
      <c r="N54" s="14" t="s">
        <v>741</v>
      </c>
      <c r="O54" s="11" t="s">
        <v>742</v>
      </c>
      <c r="P54" s="11" t="s">
        <v>212</v>
      </c>
    </row>
    <row r="55" customFormat="false" ht="391" hidden="false" customHeight="false" outlineLevel="0" collapsed="false">
      <c r="A55" s="13" t="n">
        <v>54</v>
      </c>
      <c r="B55" s="13" t="s">
        <v>171</v>
      </c>
      <c r="C55" s="13" t="s">
        <v>743</v>
      </c>
      <c r="D55" s="13" t="s">
        <v>8</v>
      </c>
      <c r="E55" s="13" t="s">
        <v>744</v>
      </c>
      <c r="F55" s="13" t="s">
        <v>67</v>
      </c>
      <c r="G55" s="14" t="s">
        <v>745</v>
      </c>
      <c r="H55" s="14" t="s">
        <v>746</v>
      </c>
      <c r="I55" s="14" t="s">
        <v>747</v>
      </c>
      <c r="J55" s="14" t="s">
        <v>748</v>
      </c>
      <c r="K55" s="14" t="s">
        <v>749</v>
      </c>
      <c r="L55" s="14" t="s">
        <v>750</v>
      </c>
      <c r="M55" s="14" t="s">
        <v>751</v>
      </c>
      <c r="N55" s="14" t="s">
        <v>752</v>
      </c>
      <c r="O55" s="11" t="s">
        <v>753</v>
      </c>
      <c r="P55" s="11" t="s">
        <v>212</v>
      </c>
    </row>
    <row r="56" customFormat="false" ht="323.85" hidden="false" customHeight="false" outlineLevel="0" collapsed="false">
      <c r="A56" s="13" t="n">
        <v>55</v>
      </c>
      <c r="B56" s="13" t="s">
        <v>173</v>
      </c>
      <c r="C56" s="13" t="s">
        <v>754</v>
      </c>
      <c r="D56" s="13" t="s">
        <v>8</v>
      </c>
      <c r="E56" s="13" t="s">
        <v>744</v>
      </c>
      <c r="F56" s="13" t="s">
        <v>67</v>
      </c>
      <c r="G56" s="14" t="s">
        <v>755</v>
      </c>
      <c r="H56" s="14" t="s">
        <v>756</v>
      </c>
      <c r="I56" s="14" t="s">
        <v>757</v>
      </c>
      <c r="J56" s="14" t="s">
        <v>758</v>
      </c>
      <c r="K56" s="14" t="s">
        <v>759</v>
      </c>
      <c r="L56" s="14" t="s">
        <v>760</v>
      </c>
      <c r="M56" s="14" t="s">
        <v>761</v>
      </c>
      <c r="N56" s="14" t="s">
        <v>762</v>
      </c>
      <c r="O56" s="11" t="s">
        <v>763</v>
      </c>
      <c r="P56" s="11" t="s">
        <v>212</v>
      </c>
    </row>
    <row r="57" customFormat="false" ht="364.15" hidden="false" customHeight="false" outlineLevel="0" collapsed="false">
      <c r="A57" s="13" t="n">
        <v>56</v>
      </c>
      <c r="B57" s="13" t="s">
        <v>175</v>
      </c>
      <c r="C57" s="13" t="s">
        <v>764</v>
      </c>
      <c r="D57" s="13" t="s">
        <v>8</v>
      </c>
      <c r="E57" s="13" t="s">
        <v>225</v>
      </c>
      <c r="F57" s="13" t="s">
        <v>67</v>
      </c>
      <c r="G57" s="14" t="s">
        <v>765</v>
      </c>
      <c r="H57" s="14" t="s">
        <v>766</v>
      </c>
      <c r="I57" s="14" t="s">
        <v>767</v>
      </c>
      <c r="J57" s="14" t="s">
        <v>768</v>
      </c>
      <c r="K57" s="14" t="s">
        <v>769</v>
      </c>
      <c r="L57" s="14" t="s">
        <v>770</v>
      </c>
      <c r="M57" s="14" t="s">
        <v>771</v>
      </c>
      <c r="N57" s="14" t="s">
        <v>772</v>
      </c>
      <c r="O57" s="11" t="s">
        <v>773</v>
      </c>
      <c r="P57" s="11" t="s">
        <v>212</v>
      </c>
    </row>
    <row r="58" customFormat="false" ht="108.95" hidden="false" customHeight="false" outlineLevel="0" collapsed="false">
      <c r="A58" s="13" t="n">
        <v>57</v>
      </c>
      <c r="B58" s="13" t="s">
        <v>177</v>
      </c>
      <c r="C58" s="13" t="s">
        <v>774</v>
      </c>
      <c r="D58" s="13" t="s">
        <v>8</v>
      </c>
      <c r="E58" s="13" t="s">
        <v>775</v>
      </c>
      <c r="F58" s="13" t="s">
        <v>21</v>
      </c>
      <c r="G58" s="14" t="s">
        <v>776</v>
      </c>
      <c r="H58" s="14" t="s">
        <v>777</v>
      </c>
      <c r="I58" s="14" t="s">
        <v>778</v>
      </c>
      <c r="J58" s="14" t="s">
        <v>779</v>
      </c>
      <c r="K58" s="14" t="s">
        <v>780</v>
      </c>
      <c r="L58" s="14" t="s">
        <v>781</v>
      </c>
      <c r="M58" s="14" t="s">
        <v>782</v>
      </c>
      <c r="N58" s="14" t="s">
        <v>783</v>
      </c>
      <c r="O58" s="11" t="s">
        <v>784</v>
      </c>
      <c r="P58" s="11" t="s">
        <v>212</v>
      </c>
    </row>
    <row r="59" customFormat="false" ht="323.85" hidden="false" customHeight="false" outlineLevel="0" collapsed="false">
      <c r="A59" s="13" t="n">
        <v>58</v>
      </c>
      <c r="B59" s="13" t="s">
        <v>179</v>
      </c>
      <c r="C59" s="13" t="s">
        <v>179</v>
      </c>
      <c r="D59" s="13" t="s">
        <v>8</v>
      </c>
      <c r="E59" s="13" t="s">
        <v>245</v>
      </c>
      <c r="F59" s="13" t="s">
        <v>89</v>
      </c>
      <c r="G59" s="14" t="s">
        <v>785</v>
      </c>
      <c r="H59" s="14" t="s">
        <v>786</v>
      </c>
      <c r="I59" s="14" t="s">
        <v>787</v>
      </c>
      <c r="J59" s="14" t="s">
        <v>788</v>
      </c>
      <c r="K59" s="14" t="s">
        <v>789</v>
      </c>
      <c r="L59" s="14" t="s">
        <v>790</v>
      </c>
      <c r="M59" s="14" t="s">
        <v>791</v>
      </c>
      <c r="N59" s="14" t="s">
        <v>792</v>
      </c>
      <c r="O59" s="11" t="s">
        <v>793</v>
      </c>
      <c r="P59" s="11" t="s">
        <v>212</v>
      </c>
    </row>
    <row r="60" customFormat="false" ht="15" hidden="false" customHeight="false" outlineLevel="0" collapsed="false">
      <c r="A60" s="1" t="n">
        <v>59</v>
      </c>
      <c r="B60" s="1" t="s">
        <v>794</v>
      </c>
      <c r="C60" s="1" t="s">
        <v>181</v>
      </c>
      <c r="D60" s="1" t="s">
        <v>795</v>
      </c>
      <c r="E60" s="1" t="s">
        <v>796</v>
      </c>
      <c r="F60" s="1" t="s">
        <v>70</v>
      </c>
      <c r="G60" s="1" t="s">
        <v>797</v>
      </c>
      <c r="H60" s="1" t="s">
        <v>798</v>
      </c>
      <c r="I60" s="1" t="s">
        <v>799</v>
      </c>
      <c r="J60" s="1" t="s">
        <v>800</v>
      </c>
      <c r="K60" s="1" t="s">
        <v>801</v>
      </c>
      <c r="L60" s="1" t="s">
        <v>802</v>
      </c>
      <c r="M60" s="1" t="s">
        <v>803</v>
      </c>
      <c r="N60" s="1" t="s">
        <v>794</v>
      </c>
      <c r="O60" s="1" t="s">
        <v>804</v>
      </c>
      <c r="P60" s="1" t="s">
        <v>212</v>
      </c>
    </row>
  </sheetData>
  <conditionalFormatting sqref="D2:D59">
    <cfRule type="expression" priority="2" aboveAverage="0" equalAverage="0" bottom="0" percent="0" rank="0" text="" dxfId="7">
      <formula>$D2="Yes"</formula>
    </cfRule>
    <cfRule type="expression" priority="3" aboveAverage="0" equalAverage="0" bottom="0" percent="0" rank="0" text="" dxfId="8">
      <formula>$D2="Maybe"</formula>
    </cfRule>
    <cfRule type="expression" priority="4" aboveAverage="0" equalAverage="0" bottom="0" percent="0" rank="0" text="" dxfId="9">
      <formula>$D2="No"</formula>
    </cfRule>
  </conditionalFormatting>
  <conditionalFormatting sqref="M2:M59">
    <cfRule type="expression" priority="5" aboveAverage="0" equalAverage="0" bottom="0" percent="0" rank="0" text="" dxfId="10">
      <formula>ISNUMBER(SEARCH("peer-review",$M2))</formula>
    </cfRule>
  </conditionalFormatting>
  <dataValidations count="1">
    <dataValidation allowBlank="false" errorStyle="stop" operator="between" showDropDown="false" showErrorMessage="false" showInputMessage="false" sqref="D2:D59" type="list">
      <formula1>"Yes,No,Maybe"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0"/>
  <sheetViews>
    <sheetView showFormulas="false" showGridLines="true" showRowColHeaders="true" showZeros="true" rightToLeft="false" tabSelected="false" showOutlineSymbols="true" defaultGridColor="true" view="normal" topLeftCell="K34" colorId="64" zoomScale="100" zoomScaleNormal="100" zoomScalePageLayoutView="100" workbookViewId="0">
      <selection pane="topLeft" activeCell="P60"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4"/>
    <col collapsed="false" customWidth="true" hidden="false" outlineLevel="0" max="3" min="3" style="1" width="9"/>
    <col collapsed="false" customWidth="true" hidden="false" outlineLevel="0" max="4" min="4" style="1" width="42"/>
    <col collapsed="false" customWidth="true" hidden="false" outlineLevel="0" max="5" min="5" style="1" width="35"/>
    <col collapsed="false" customWidth="true" hidden="false" outlineLevel="0" max="6" min="6" style="1" width="19"/>
    <col collapsed="false" customWidth="true" hidden="false" outlineLevel="0" max="7" min="7" style="1" width="14"/>
    <col collapsed="false" customWidth="true" hidden="false" outlineLevel="0" max="8" min="8" style="1" width="28"/>
    <col collapsed="false" customWidth="true" hidden="false" outlineLevel="0" max="9" min="9" style="1" width="34"/>
    <col collapsed="false" customWidth="true" hidden="false" outlineLevel="0" max="10" min="10" style="1" width="26"/>
    <col collapsed="false" customWidth="true" hidden="false" outlineLevel="0" max="11" min="11" style="1" width="18"/>
    <col collapsed="false" customWidth="true" hidden="false" outlineLevel="0" max="12" min="12" style="1" width="24"/>
    <col collapsed="false" customWidth="true" hidden="false" outlineLevel="0" max="13" min="13" style="1" width="16"/>
    <col collapsed="false" customWidth="true" hidden="false" outlineLevel="0" max="14" min="14" style="1" width="24"/>
    <col collapsed="false" customWidth="true" hidden="false" outlineLevel="0" max="15" min="15" style="1" width="14"/>
    <col collapsed="false" customWidth="true" hidden="false" outlineLevel="0" max="16" min="16" style="1" width="105.92"/>
    <col collapsed="false" customWidth="true" hidden="false" outlineLevel="0" max="17" min="17" style="1" width="22"/>
  </cols>
  <sheetData>
    <row r="1" customFormat="false" ht="34" hidden="false" customHeight="true" outlineLevel="0" collapsed="false">
      <c r="A1" s="6" t="s">
        <v>805</v>
      </c>
      <c r="B1" s="5" t="s">
        <v>806</v>
      </c>
      <c r="C1" s="5" t="s">
        <v>807</v>
      </c>
      <c r="D1" s="5" t="s">
        <v>808</v>
      </c>
      <c r="E1" s="5" t="s">
        <v>190</v>
      </c>
      <c r="F1" s="5" t="s">
        <v>809</v>
      </c>
      <c r="G1" s="5" t="s">
        <v>6</v>
      </c>
      <c r="H1" s="5" t="s">
        <v>810</v>
      </c>
      <c r="I1" s="5" t="s">
        <v>811</v>
      </c>
      <c r="J1" s="5" t="s">
        <v>184</v>
      </c>
      <c r="K1" s="5" t="s">
        <v>812</v>
      </c>
      <c r="L1" s="5" t="s">
        <v>813</v>
      </c>
      <c r="M1" s="5" t="s">
        <v>814</v>
      </c>
      <c r="N1" s="5" t="s">
        <v>815</v>
      </c>
      <c r="O1" s="5" t="s">
        <v>816</v>
      </c>
      <c r="P1" s="5" t="s">
        <v>199</v>
      </c>
      <c r="Q1" s="5" t="s">
        <v>817</v>
      </c>
    </row>
    <row r="2" customFormat="false" ht="15" hidden="false" customHeight="false" outlineLevel="0" collapsed="false">
      <c r="A2" s="1" t="n">
        <v>1</v>
      </c>
      <c r="B2" s="1" t="s">
        <v>818</v>
      </c>
      <c r="C2" s="1" t="n">
        <v>2024</v>
      </c>
      <c r="D2" s="1" t="s">
        <v>819</v>
      </c>
      <c r="E2" s="1" t="s">
        <v>820</v>
      </c>
      <c r="F2" s="1" t="s">
        <v>821</v>
      </c>
      <c r="G2" s="1" t="s">
        <v>795</v>
      </c>
      <c r="H2" s="1" t="s">
        <v>822</v>
      </c>
      <c r="I2" s="1" t="s">
        <v>202</v>
      </c>
      <c r="J2" s="1" t="s">
        <v>20</v>
      </c>
      <c r="P2" s="1" t="s">
        <v>819</v>
      </c>
      <c r="Q2" s="1" t="s">
        <v>823</v>
      </c>
    </row>
    <row r="3" customFormat="false" ht="15" hidden="false" customHeight="false" outlineLevel="0" collapsed="false">
      <c r="A3" s="1" t="n">
        <v>2</v>
      </c>
      <c r="B3" s="1" t="s">
        <v>818</v>
      </c>
      <c r="C3" s="1" t="n">
        <v>2025</v>
      </c>
      <c r="D3" s="1" t="s">
        <v>824</v>
      </c>
      <c r="E3" s="1" t="s">
        <v>825</v>
      </c>
      <c r="F3" s="1" t="s">
        <v>821</v>
      </c>
      <c r="G3" s="1" t="s">
        <v>795</v>
      </c>
      <c r="H3" s="1" t="s">
        <v>822</v>
      </c>
      <c r="I3" s="1" t="s">
        <v>826</v>
      </c>
      <c r="J3" s="1" t="s">
        <v>20</v>
      </c>
      <c r="P3" s="1" t="s">
        <v>824</v>
      </c>
      <c r="Q3" s="1" t="s">
        <v>823</v>
      </c>
    </row>
    <row r="4" customFormat="false" ht="15" hidden="false" customHeight="false" outlineLevel="0" collapsed="false">
      <c r="A4" s="1" t="n">
        <v>3</v>
      </c>
      <c r="B4" s="1" t="s">
        <v>827</v>
      </c>
      <c r="C4" s="1" t="n">
        <v>2026</v>
      </c>
      <c r="D4" s="1" t="s">
        <v>828</v>
      </c>
      <c r="E4" s="1" t="s">
        <v>224</v>
      </c>
      <c r="F4" s="1" t="s">
        <v>821</v>
      </c>
      <c r="G4" s="1" t="s">
        <v>795</v>
      </c>
      <c r="H4" s="1" t="s">
        <v>829</v>
      </c>
      <c r="I4" s="1" t="s">
        <v>225</v>
      </c>
      <c r="J4" s="1" t="s">
        <v>20</v>
      </c>
      <c r="P4" s="1" t="s">
        <v>828</v>
      </c>
      <c r="Q4" s="1" t="s">
        <v>823</v>
      </c>
    </row>
    <row r="5" customFormat="false" ht="15" hidden="false" customHeight="false" outlineLevel="0" collapsed="false">
      <c r="A5" s="1" t="n">
        <v>4</v>
      </c>
      <c r="B5" s="1" t="s">
        <v>830</v>
      </c>
      <c r="C5" s="1" t="n">
        <v>2025</v>
      </c>
      <c r="D5" s="1" t="s">
        <v>58</v>
      </c>
      <c r="E5" s="1" t="s">
        <v>235</v>
      </c>
      <c r="F5" s="1" t="s">
        <v>821</v>
      </c>
      <c r="G5" s="1" t="s">
        <v>795</v>
      </c>
      <c r="H5" s="1" t="s">
        <v>831</v>
      </c>
      <c r="I5" s="1" t="s">
        <v>225</v>
      </c>
      <c r="J5" s="1" t="s">
        <v>832</v>
      </c>
      <c r="P5" s="1" t="s">
        <v>833</v>
      </c>
      <c r="Q5" s="1" t="s">
        <v>823</v>
      </c>
    </row>
    <row r="6" customFormat="false" ht="15" hidden="false" customHeight="false" outlineLevel="0" collapsed="false">
      <c r="A6" s="1" t="n">
        <v>5</v>
      </c>
      <c r="B6" s="1" t="s">
        <v>834</v>
      </c>
      <c r="C6" s="1" t="n">
        <v>2022</v>
      </c>
      <c r="D6" s="1" t="s">
        <v>62</v>
      </c>
      <c r="E6" s="1" t="s">
        <v>62</v>
      </c>
      <c r="F6" s="1" t="s">
        <v>21</v>
      </c>
      <c r="G6" s="1" t="s">
        <v>835</v>
      </c>
      <c r="H6" s="1" t="s">
        <v>836</v>
      </c>
      <c r="I6" s="1" t="s">
        <v>245</v>
      </c>
      <c r="J6" s="1" t="s">
        <v>21</v>
      </c>
      <c r="P6" s="1" t="s">
        <v>837</v>
      </c>
      <c r="Q6" s="1" t="s">
        <v>823</v>
      </c>
    </row>
    <row r="7" customFormat="false" ht="15" hidden="false" customHeight="false" outlineLevel="0" collapsed="false">
      <c r="A7" s="1" t="n">
        <v>6</v>
      </c>
      <c r="B7" s="1" t="s">
        <v>838</v>
      </c>
      <c r="C7" s="1" t="n">
        <v>2026</v>
      </c>
      <c r="D7" s="1" t="s">
        <v>839</v>
      </c>
      <c r="E7" s="1" t="s">
        <v>255</v>
      </c>
      <c r="F7" s="1" t="s">
        <v>821</v>
      </c>
      <c r="G7" s="1" t="s">
        <v>835</v>
      </c>
      <c r="H7" s="1" t="s">
        <v>17</v>
      </c>
      <c r="I7" s="1" t="s">
        <v>840</v>
      </c>
      <c r="J7" s="1" t="s">
        <v>67</v>
      </c>
      <c r="P7" s="1" t="s">
        <v>839</v>
      </c>
      <c r="Q7" s="1" t="s">
        <v>823</v>
      </c>
    </row>
    <row r="8" customFormat="false" ht="15" hidden="false" customHeight="false" outlineLevel="0" collapsed="false">
      <c r="A8" s="1" t="n">
        <v>7</v>
      </c>
      <c r="B8" s="1" t="s">
        <v>841</v>
      </c>
      <c r="C8" s="1" t="n">
        <v>2025</v>
      </c>
      <c r="D8" s="1" t="s">
        <v>842</v>
      </c>
      <c r="E8" s="1" t="s">
        <v>842</v>
      </c>
      <c r="F8" s="1" t="s">
        <v>843</v>
      </c>
      <c r="G8" s="1" t="s">
        <v>795</v>
      </c>
      <c r="H8" s="1" t="s">
        <v>844</v>
      </c>
      <c r="I8" s="1" t="s">
        <v>845</v>
      </c>
      <c r="J8" s="1" t="s">
        <v>22</v>
      </c>
      <c r="P8" s="1" t="s">
        <v>842</v>
      </c>
      <c r="Q8" s="1" t="s">
        <v>823</v>
      </c>
    </row>
    <row r="9" customFormat="false" ht="15" hidden="false" customHeight="false" outlineLevel="0" collapsed="false">
      <c r="A9" s="1" t="n">
        <v>8</v>
      </c>
      <c r="B9" s="1" t="s">
        <v>846</v>
      </c>
      <c r="C9" s="1" t="n">
        <v>2025</v>
      </c>
      <c r="D9" s="1" t="s">
        <v>847</v>
      </c>
      <c r="E9" s="1" t="s">
        <v>848</v>
      </c>
      <c r="F9" s="1" t="s">
        <v>821</v>
      </c>
      <c r="G9" s="1" t="s">
        <v>795</v>
      </c>
      <c r="H9" s="1" t="s">
        <v>849</v>
      </c>
      <c r="I9" s="1" t="s">
        <v>840</v>
      </c>
      <c r="J9" s="1" t="s">
        <v>850</v>
      </c>
      <c r="P9" s="1" t="s">
        <v>847</v>
      </c>
      <c r="Q9" s="1" t="s">
        <v>823</v>
      </c>
    </row>
    <row r="10" customFormat="false" ht="15" hidden="false" customHeight="false" outlineLevel="0" collapsed="false">
      <c r="A10" s="1" t="n">
        <v>9</v>
      </c>
      <c r="B10" s="1" t="s">
        <v>851</v>
      </c>
      <c r="C10" s="1" t="n">
        <v>2024</v>
      </c>
      <c r="D10" s="1" t="s">
        <v>852</v>
      </c>
      <c r="E10" s="1" t="s">
        <v>286</v>
      </c>
      <c r="F10" s="1" t="s">
        <v>821</v>
      </c>
      <c r="G10" s="1" t="s">
        <v>795</v>
      </c>
      <c r="H10" s="1" t="s">
        <v>11</v>
      </c>
      <c r="I10" s="1" t="s">
        <v>225</v>
      </c>
      <c r="J10" s="1" t="s">
        <v>20</v>
      </c>
      <c r="P10" s="1" t="s">
        <v>852</v>
      </c>
      <c r="Q10" s="1" t="s">
        <v>823</v>
      </c>
    </row>
    <row r="11" customFormat="false" ht="15" hidden="false" customHeight="false" outlineLevel="0" collapsed="false">
      <c r="A11" s="1" t="n">
        <v>10</v>
      </c>
      <c r="B11" s="1" t="s">
        <v>851</v>
      </c>
      <c r="C11" s="1" t="n">
        <v>2024</v>
      </c>
      <c r="D11" s="1" t="s">
        <v>852</v>
      </c>
      <c r="E11" s="1" t="s">
        <v>296</v>
      </c>
      <c r="F11" s="1" t="s">
        <v>843</v>
      </c>
      <c r="G11" s="1" t="s">
        <v>297</v>
      </c>
      <c r="H11" s="1" t="s">
        <v>11</v>
      </c>
      <c r="I11" s="1" t="s">
        <v>225</v>
      </c>
      <c r="J11" s="1" t="s">
        <v>20</v>
      </c>
      <c r="P11" s="1" t="s">
        <v>852</v>
      </c>
      <c r="Q11" s="1" t="s">
        <v>823</v>
      </c>
    </row>
    <row r="12" customFormat="false" ht="15" hidden="false" customHeight="false" outlineLevel="0" collapsed="false">
      <c r="A12" s="1" t="n">
        <v>11</v>
      </c>
      <c r="B12" s="1" t="s">
        <v>853</v>
      </c>
      <c r="C12" s="1" t="n">
        <v>2025</v>
      </c>
      <c r="D12" s="1" t="s">
        <v>854</v>
      </c>
      <c r="E12" s="1" t="s">
        <v>306</v>
      </c>
      <c r="F12" s="1" t="s">
        <v>821</v>
      </c>
      <c r="G12" s="1" t="s">
        <v>795</v>
      </c>
      <c r="H12" s="1" t="s">
        <v>855</v>
      </c>
      <c r="I12" s="1" t="s">
        <v>856</v>
      </c>
      <c r="J12" s="1" t="s">
        <v>22</v>
      </c>
      <c r="P12" s="1" t="s">
        <v>854</v>
      </c>
      <c r="Q12" s="1" t="s">
        <v>823</v>
      </c>
    </row>
    <row r="13" customFormat="false" ht="15" hidden="false" customHeight="false" outlineLevel="0" collapsed="false">
      <c r="A13" s="1" t="n">
        <v>12</v>
      </c>
      <c r="B13" s="1" t="s">
        <v>853</v>
      </c>
      <c r="C13" s="1" t="n">
        <v>2026</v>
      </c>
      <c r="D13" s="1" t="s">
        <v>857</v>
      </c>
      <c r="E13" s="1" t="s">
        <v>317</v>
      </c>
      <c r="F13" s="1" t="s">
        <v>821</v>
      </c>
      <c r="G13" s="1" t="s">
        <v>795</v>
      </c>
      <c r="H13" s="1" t="s">
        <v>855</v>
      </c>
      <c r="I13" s="1" t="s">
        <v>858</v>
      </c>
      <c r="J13" s="1" t="s">
        <v>22</v>
      </c>
      <c r="P13" s="1" t="s">
        <v>857</v>
      </c>
      <c r="Q13" s="1" t="s">
        <v>823</v>
      </c>
    </row>
    <row r="14" customFormat="false" ht="15" hidden="false" customHeight="false" outlineLevel="0" collapsed="false">
      <c r="A14" s="1" t="n">
        <v>13</v>
      </c>
      <c r="B14" s="1" t="s">
        <v>859</v>
      </c>
      <c r="C14" s="1" t="n">
        <v>2020</v>
      </c>
      <c r="D14" s="1" t="s">
        <v>860</v>
      </c>
      <c r="E14" s="1" t="s">
        <v>328</v>
      </c>
      <c r="F14" s="1" t="s">
        <v>821</v>
      </c>
      <c r="G14" s="1" t="s">
        <v>795</v>
      </c>
      <c r="H14" s="1" t="s">
        <v>861</v>
      </c>
      <c r="I14" s="1" t="s">
        <v>840</v>
      </c>
      <c r="J14" s="1" t="s">
        <v>862</v>
      </c>
      <c r="P14" s="1" t="s">
        <v>860</v>
      </c>
      <c r="Q14" s="1" t="s">
        <v>823</v>
      </c>
    </row>
    <row r="15" customFormat="false" ht="15" hidden="false" customHeight="false" outlineLevel="0" collapsed="false">
      <c r="A15" s="1" t="n">
        <v>14</v>
      </c>
      <c r="B15" s="1" t="s">
        <v>863</v>
      </c>
      <c r="C15" s="1" t="n">
        <v>2024</v>
      </c>
      <c r="D15" s="1" t="s">
        <v>864</v>
      </c>
      <c r="E15" s="1" t="s">
        <v>338</v>
      </c>
      <c r="F15" s="1" t="s">
        <v>821</v>
      </c>
      <c r="G15" s="1" t="s">
        <v>795</v>
      </c>
      <c r="H15" s="1" t="s">
        <v>865</v>
      </c>
      <c r="I15" s="1" t="s">
        <v>339</v>
      </c>
      <c r="J15" s="1" t="s">
        <v>22</v>
      </c>
      <c r="P15" s="1" t="s">
        <v>864</v>
      </c>
      <c r="Q15" s="1" t="s">
        <v>823</v>
      </c>
    </row>
    <row r="16" customFormat="false" ht="15" hidden="false" customHeight="false" outlineLevel="0" collapsed="false">
      <c r="A16" s="1" t="n">
        <v>15</v>
      </c>
      <c r="B16" s="1" t="s">
        <v>866</v>
      </c>
      <c r="C16" s="1" t="n">
        <v>2024</v>
      </c>
      <c r="D16" s="1" t="s">
        <v>88</v>
      </c>
      <c r="E16" s="1" t="s">
        <v>349</v>
      </c>
      <c r="F16" s="1" t="s">
        <v>843</v>
      </c>
      <c r="G16" s="1" t="s">
        <v>795</v>
      </c>
      <c r="H16" s="1" t="s">
        <v>867</v>
      </c>
      <c r="I16" s="1" t="s">
        <v>202</v>
      </c>
      <c r="J16" s="1" t="s">
        <v>20</v>
      </c>
      <c r="P16" s="1" t="s">
        <v>357</v>
      </c>
      <c r="Q16" s="1" t="s">
        <v>823</v>
      </c>
    </row>
    <row r="17" customFormat="false" ht="15" hidden="false" customHeight="false" outlineLevel="0" collapsed="false">
      <c r="A17" s="1" t="n">
        <v>16</v>
      </c>
      <c r="B17" s="1" t="s">
        <v>868</v>
      </c>
      <c r="C17" s="1" t="n">
        <v>2026</v>
      </c>
      <c r="D17" s="1" t="s">
        <v>869</v>
      </c>
      <c r="E17" s="1" t="s">
        <v>359</v>
      </c>
      <c r="F17" s="1" t="s">
        <v>821</v>
      </c>
      <c r="G17" s="1" t="s">
        <v>870</v>
      </c>
      <c r="H17" s="1" t="s">
        <v>14</v>
      </c>
      <c r="I17" s="1" t="s">
        <v>871</v>
      </c>
      <c r="J17" s="1" t="s">
        <v>89</v>
      </c>
      <c r="P17" s="1" t="s">
        <v>869</v>
      </c>
      <c r="Q17" s="1" t="s">
        <v>823</v>
      </c>
    </row>
    <row r="18" customFormat="false" ht="15" hidden="false" customHeight="false" outlineLevel="0" collapsed="false">
      <c r="A18" s="1" t="n">
        <v>17</v>
      </c>
      <c r="B18" s="1" t="s">
        <v>872</v>
      </c>
      <c r="C18" s="1" t="n">
        <v>2025</v>
      </c>
      <c r="D18" s="1" t="s">
        <v>94</v>
      </c>
      <c r="E18" s="1" t="s">
        <v>370</v>
      </c>
      <c r="F18" s="1" t="s">
        <v>821</v>
      </c>
      <c r="G18" s="1" t="s">
        <v>795</v>
      </c>
      <c r="H18" s="1" t="s">
        <v>873</v>
      </c>
      <c r="I18" s="1" t="s">
        <v>874</v>
      </c>
      <c r="J18" s="1" t="s">
        <v>67</v>
      </c>
      <c r="P18" s="1" t="s">
        <v>875</v>
      </c>
      <c r="Q18" s="1" t="s">
        <v>823</v>
      </c>
    </row>
    <row r="19" customFormat="false" ht="15" hidden="false" customHeight="false" outlineLevel="0" collapsed="false">
      <c r="A19" s="1" t="n">
        <v>18</v>
      </c>
      <c r="B19" s="1" t="s">
        <v>876</v>
      </c>
      <c r="C19" s="1" t="n">
        <v>2025</v>
      </c>
      <c r="D19" s="1" t="s">
        <v>877</v>
      </c>
      <c r="E19" s="1" t="s">
        <v>381</v>
      </c>
      <c r="F19" s="1" t="s">
        <v>878</v>
      </c>
      <c r="G19" s="1" t="s">
        <v>795</v>
      </c>
      <c r="H19" s="1" t="s">
        <v>879</v>
      </c>
      <c r="I19" s="1" t="s">
        <v>826</v>
      </c>
      <c r="J19" s="1" t="s">
        <v>880</v>
      </c>
      <c r="P19" s="1" t="s">
        <v>877</v>
      </c>
      <c r="Q19" s="1" t="s">
        <v>823</v>
      </c>
    </row>
    <row r="20" customFormat="false" ht="15" hidden="false" customHeight="false" outlineLevel="0" collapsed="false">
      <c r="A20" s="1" t="n">
        <v>19</v>
      </c>
      <c r="B20" s="1" t="s">
        <v>881</v>
      </c>
      <c r="C20" s="1" t="n">
        <v>2025</v>
      </c>
      <c r="D20" s="1" t="s">
        <v>882</v>
      </c>
      <c r="E20" s="1" t="s">
        <v>391</v>
      </c>
      <c r="F20" s="1" t="s">
        <v>878</v>
      </c>
      <c r="G20" s="1" t="s">
        <v>795</v>
      </c>
      <c r="H20" s="1" t="s">
        <v>883</v>
      </c>
      <c r="I20" s="1" t="s">
        <v>392</v>
      </c>
      <c r="J20" s="1" t="s">
        <v>20</v>
      </c>
      <c r="P20" s="1" t="s">
        <v>882</v>
      </c>
      <c r="Q20" s="1" t="s">
        <v>823</v>
      </c>
    </row>
    <row r="21" customFormat="false" ht="15" hidden="false" customHeight="false" outlineLevel="0" collapsed="false">
      <c r="A21" s="1" t="n">
        <v>20</v>
      </c>
      <c r="B21" s="1" t="s">
        <v>884</v>
      </c>
      <c r="C21" s="1" t="n">
        <v>2026</v>
      </c>
      <c r="D21" s="1" t="s">
        <v>885</v>
      </c>
      <c r="E21" s="1" t="s">
        <v>402</v>
      </c>
      <c r="F21" s="1" t="s">
        <v>821</v>
      </c>
      <c r="G21" s="1" t="s">
        <v>795</v>
      </c>
      <c r="H21" s="1" t="s">
        <v>886</v>
      </c>
      <c r="I21" s="1" t="s">
        <v>858</v>
      </c>
      <c r="J21" s="1" t="s">
        <v>887</v>
      </c>
      <c r="P21" s="1" t="s">
        <v>885</v>
      </c>
      <c r="Q21" s="1" t="s">
        <v>823</v>
      </c>
    </row>
    <row r="22" customFormat="false" ht="15" hidden="false" customHeight="false" outlineLevel="0" collapsed="false">
      <c r="A22" s="1" t="n">
        <v>21</v>
      </c>
      <c r="B22" s="1" t="s">
        <v>884</v>
      </c>
      <c r="C22" s="1" t="n">
        <v>2026</v>
      </c>
      <c r="D22" s="1" t="s">
        <v>102</v>
      </c>
      <c r="E22" s="1" t="s">
        <v>412</v>
      </c>
      <c r="F22" s="1" t="s">
        <v>21</v>
      </c>
      <c r="G22" s="1" t="s">
        <v>795</v>
      </c>
      <c r="H22" s="1" t="s">
        <v>888</v>
      </c>
      <c r="I22" s="1" t="s">
        <v>266</v>
      </c>
      <c r="J22" s="1" t="s">
        <v>889</v>
      </c>
      <c r="P22" s="1" t="s">
        <v>890</v>
      </c>
      <c r="Q22" s="1" t="s">
        <v>823</v>
      </c>
    </row>
    <row r="23" customFormat="false" ht="15" hidden="false" customHeight="false" outlineLevel="0" collapsed="false">
      <c r="A23" s="1" t="n">
        <v>22</v>
      </c>
      <c r="B23" s="1" t="s">
        <v>891</v>
      </c>
      <c r="C23" s="1" t="n">
        <v>2025</v>
      </c>
      <c r="D23" s="1" t="s">
        <v>892</v>
      </c>
      <c r="E23" s="1" t="s">
        <v>422</v>
      </c>
      <c r="F23" s="1" t="s">
        <v>821</v>
      </c>
      <c r="G23" s="1" t="s">
        <v>795</v>
      </c>
      <c r="H23" s="1" t="s">
        <v>893</v>
      </c>
      <c r="I23" s="1" t="s">
        <v>826</v>
      </c>
      <c r="J23" s="1" t="s">
        <v>894</v>
      </c>
      <c r="P23" s="1" t="s">
        <v>892</v>
      </c>
      <c r="Q23" s="1" t="s">
        <v>823</v>
      </c>
    </row>
    <row r="24" customFormat="false" ht="15" hidden="false" customHeight="false" outlineLevel="0" collapsed="false">
      <c r="A24" s="1" t="n">
        <v>23</v>
      </c>
      <c r="B24" s="1" t="s">
        <v>895</v>
      </c>
      <c r="C24" s="1" t="n">
        <v>2024</v>
      </c>
      <c r="D24" s="1" t="s">
        <v>896</v>
      </c>
      <c r="E24" s="1" t="s">
        <v>896</v>
      </c>
      <c r="F24" s="1" t="s">
        <v>843</v>
      </c>
      <c r="G24" s="1" t="s">
        <v>795</v>
      </c>
      <c r="H24" s="1" t="s">
        <v>897</v>
      </c>
      <c r="I24" s="1" t="s">
        <v>856</v>
      </c>
      <c r="J24" s="1" t="s">
        <v>67</v>
      </c>
      <c r="P24" s="1" t="s">
        <v>896</v>
      </c>
      <c r="Q24" s="1" t="s">
        <v>823</v>
      </c>
    </row>
    <row r="25" customFormat="false" ht="15" hidden="false" customHeight="false" outlineLevel="0" collapsed="false">
      <c r="A25" s="1" t="n">
        <v>24</v>
      </c>
      <c r="B25" s="1" t="s">
        <v>898</v>
      </c>
      <c r="D25" s="1" t="s">
        <v>899</v>
      </c>
      <c r="E25" s="1" t="s">
        <v>442</v>
      </c>
      <c r="F25" s="1" t="s">
        <v>21</v>
      </c>
      <c r="G25" s="1" t="s">
        <v>835</v>
      </c>
      <c r="H25" s="1" t="s">
        <v>900</v>
      </c>
      <c r="I25" s="1" t="s">
        <v>443</v>
      </c>
      <c r="J25" s="1" t="s">
        <v>109</v>
      </c>
      <c r="P25" s="1" t="s">
        <v>899</v>
      </c>
      <c r="Q25" s="1" t="s">
        <v>823</v>
      </c>
    </row>
    <row r="26" customFormat="false" ht="15" hidden="false" customHeight="false" outlineLevel="0" collapsed="false">
      <c r="A26" s="1" t="n">
        <v>25</v>
      </c>
      <c r="B26" s="1" t="s">
        <v>901</v>
      </c>
      <c r="C26" s="1" t="n">
        <v>2024</v>
      </c>
      <c r="D26" s="1" t="s">
        <v>902</v>
      </c>
      <c r="E26" s="1" t="s">
        <v>902</v>
      </c>
      <c r="F26" s="1" t="s">
        <v>821</v>
      </c>
      <c r="G26" s="1" t="s">
        <v>795</v>
      </c>
      <c r="H26" s="1" t="s">
        <v>903</v>
      </c>
      <c r="I26" s="1" t="s">
        <v>266</v>
      </c>
      <c r="J26" s="1" t="s">
        <v>904</v>
      </c>
      <c r="P26" s="1" t="s">
        <v>902</v>
      </c>
      <c r="Q26" s="1" t="s">
        <v>823</v>
      </c>
    </row>
    <row r="27" customFormat="false" ht="15" hidden="false" customHeight="false" outlineLevel="0" collapsed="false">
      <c r="A27" s="1" t="n">
        <v>26</v>
      </c>
      <c r="B27" s="1" t="s">
        <v>905</v>
      </c>
      <c r="C27" s="1" t="n">
        <v>2022</v>
      </c>
      <c r="D27" s="1" t="s">
        <v>906</v>
      </c>
      <c r="E27" s="1" t="s">
        <v>462</v>
      </c>
      <c r="F27" s="1" t="s">
        <v>21</v>
      </c>
      <c r="G27" s="1" t="s">
        <v>795</v>
      </c>
      <c r="H27" s="1" t="s">
        <v>907</v>
      </c>
      <c r="I27" s="1" t="s">
        <v>202</v>
      </c>
      <c r="J27" s="1" t="s">
        <v>908</v>
      </c>
      <c r="P27" s="1" t="s">
        <v>906</v>
      </c>
      <c r="Q27" s="1" t="s">
        <v>823</v>
      </c>
    </row>
    <row r="28" customFormat="false" ht="15" hidden="false" customHeight="false" outlineLevel="0" collapsed="false">
      <c r="A28" s="1" t="n">
        <v>27</v>
      </c>
      <c r="B28" s="1" t="s">
        <v>909</v>
      </c>
      <c r="C28" s="1" t="n">
        <v>2025</v>
      </c>
      <c r="D28" s="1" t="s">
        <v>115</v>
      </c>
      <c r="E28" s="1" t="s">
        <v>472</v>
      </c>
      <c r="F28" s="1" t="s">
        <v>821</v>
      </c>
      <c r="G28" s="1" t="s">
        <v>795</v>
      </c>
      <c r="H28" s="1" t="s">
        <v>910</v>
      </c>
      <c r="I28" s="1" t="s">
        <v>911</v>
      </c>
      <c r="J28" s="1" t="s">
        <v>70</v>
      </c>
      <c r="P28" s="1" t="s">
        <v>912</v>
      </c>
      <c r="Q28" s="1" t="s">
        <v>823</v>
      </c>
    </row>
    <row r="29" customFormat="false" ht="15" hidden="false" customHeight="false" outlineLevel="0" collapsed="false">
      <c r="A29" s="1" t="n">
        <v>28</v>
      </c>
      <c r="B29" s="1" t="s">
        <v>913</v>
      </c>
      <c r="C29" s="1" t="n">
        <v>2025</v>
      </c>
      <c r="D29" s="1" t="s">
        <v>914</v>
      </c>
      <c r="E29" s="1" t="s">
        <v>483</v>
      </c>
      <c r="F29" s="1" t="s">
        <v>821</v>
      </c>
      <c r="G29" s="1" t="s">
        <v>795</v>
      </c>
      <c r="H29" s="1" t="s">
        <v>915</v>
      </c>
      <c r="I29" s="1" t="s">
        <v>266</v>
      </c>
      <c r="J29" s="1" t="s">
        <v>22</v>
      </c>
      <c r="P29" s="1" t="s">
        <v>914</v>
      </c>
      <c r="Q29" s="1" t="s">
        <v>823</v>
      </c>
    </row>
    <row r="30" customFormat="false" ht="15" hidden="false" customHeight="false" outlineLevel="0" collapsed="false">
      <c r="A30" s="1" t="n">
        <v>29</v>
      </c>
      <c r="B30" s="1" t="s">
        <v>916</v>
      </c>
      <c r="C30" s="1" t="n">
        <v>2025</v>
      </c>
      <c r="D30" s="1" t="s">
        <v>917</v>
      </c>
      <c r="E30" s="1" t="s">
        <v>918</v>
      </c>
      <c r="F30" s="1" t="s">
        <v>821</v>
      </c>
      <c r="G30" s="1" t="s">
        <v>795</v>
      </c>
      <c r="H30" s="1" t="s">
        <v>919</v>
      </c>
      <c r="I30" s="1" t="s">
        <v>826</v>
      </c>
      <c r="J30" s="1" t="s">
        <v>89</v>
      </c>
      <c r="P30" s="1" t="s">
        <v>917</v>
      </c>
      <c r="Q30" s="1" t="s">
        <v>823</v>
      </c>
    </row>
    <row r="31" customFormat="false" ht="15" hidden="false" customHeight="false" outlineLevel="0" collapsed="false">
      <c r="A31" s="1" t="n">
        <v>30</v>
      </c>
      <c r="B31" s="1" t="s">
        <v>920</v>
      </c>
      <c r="C31" s="1" t="n">
        <v>2024</v>
      </c>
      <c r="D31" s="1" t="s">
        <v>921</v>
      </c>
      <c r="E31" s="1" t="s">
        <v>503</v>
      </c>
      <c r="F31" s="1" t="s">
        <v>821</v>
      </c>
      <c r="G31" s="1" t="s">
        <v>795</v>
      </c>
      <c r="H31" s="1" t="s">
        <v>922</v>
      </c>
      <c r="I31" s="1" t="s">
        <v>826</v>
      </c>
      <c r="J31" s="1" t="s">
        <v>20</v>
      </c>
      <c r="P31" s="1" t="s">
        <v>921</v>
      </c>
      <c r="Q31" s="1" t="s">
        <v>823</v>
      </c>
    </row>
    <row r="32" customFormat="false" ht="15" hidden="false" customHeight="false" outlineLevel="0" collapsed="false">
      <c r="A32" s="1" t="n">
        <v>31</v>
      </c>
      <c r="B32" s="1" t="s">
        <v>923</v>
      </c>
      <c r="C32" s="1" t="n">
        <v>2022</v>
      </c>
      <c r="D32" s="1" t="s">
        <v>924</v>
      </c>
      <c r="E32" s="1" t="s">
        <v>513</v>
      </c>
      <c r="F32" s="1" t="s">
        <v>21</v>
      </c>
      <c r="G32" s="1" t="s">
        <v>795</v>
      </c>
      <c r="H32" s="1" t="s">
        <v>925</v>
      </c>
      <c r="I32" s="1" t="s">
        <v>225</v>
      </c>
      <c r="J32" s="1" t="s">
        <v>926</v>
      </c>
      <c r="P32" s="1" t="s">
        <v>924</v>
      </c>
      <c r="Q32" s="1" t="s">
        <v>823</v>
      </c>
    </row>
    <row r="33" customFormat="false" ht="15" hidden="false" customHeight="false" outlineLevel="0" collapsed="false">
      <c r="A33" s="1" t="n">
        <v>32</v>
      </c>
      <c r="B33" s="1" t="s">
        <v>927</v>
      </c>
      <c r="C33" s="1" t="n">
        <v>2024</v>
      </c>
      <c r="D33" s="1" t="s">
        <v>928</v>
      </c>
      <c r="E33" s="1" t="s">
        <v>928</v>
      </c>
      <c r="F33" s="1" t="s">
        <v>21</v>
      </c>
      <c r="G33" s="1" t="s">
        <v>795</v>
      </c>
      <c r="H33" s="1" t="s">
        <v>929</v>
      </c>
      <c r="I33" s="1" t="s">
        <v>225</v>
      </c>
      <c r="J33" s="1" t="s">
        <v>930</v>
      </c>
      <c r="P33" s="1" t="s">
        <v>928</v>
      </c>
      <c r="Q33" s="1" t="s">
        <v>823</v>
      </c>
    </row>
    <row r="34" customFormat="false" ht="15" hidden="false" customHeight="false" outlineLevel="0" collapsed="false">
      <c r="A34" s="1" t="n">
        <v>33</v>
      </c>
      <c r="B34" s="1" t="s">
        <v>931</v>
      </c>
      <c r="C34" s="1" t="n">
        <v>2026</v>
      </c>
      <c r="D34" s="1" t="s">
        <v>932</v>
      </c>
      <c r="E34" s="1" t="s">
        <v>532</v>
      </c>
      <c r="F34" s="1" t="s">
        <v>821</v>
      </c>
      <c r="G34" s="1" t="s">
        <v>795</v>
      </c>
      <c r="H34" s="1" t="s">
        <v>933</v>
      </c>
      <c r="I34" s="1" t="s">
        <v>533</v>
      </c>
      <c r="J34" s="1" t="s">
        <v>19</v>
      </c>
      <c r="P34" s="1" t="s">
        <v>932</v>
      </c>
      <c r="Q34" s="1" t="s">
        <v>823</v>
      </c>
    </row>
    <row r="35" customFormat="false" ht="15" hidden="false" customHeight="false" outlineLevel="0" collapsed="false">
      <c r="A35" s="1" t="n">
        <v>34</v>
      </c>
      <c r="B35" s="1" t="s">
        <v>934</v>
      </c>
      <c r="C35" s="1" t="n">
        <v>2024</v>
      </c>
      <c r="D35" s="1" t="s">
        <v>935</v>
      </c>
      <c r="E35" s="1" t="s">
        <v>543</v>
      </c>
      <c r="F35" s="1" t="s">
        <v>821</v>
      </c>
      <c r="G35" s="1" t="s">
        <v>795</v>
      </c>
      <c r="H35" s="1" t="s">
        <v>936</v>
      </c>
      <c r="I35" s="1" t="s">
        <v>266</v>
      </c>
      <c r="J35" s="1" t="s">
        <v>22</v>
      </c>
      <c r="P35" s="1" t="s">
        <v>935</v>
      </c>
      <c r="Q35" s="1" t="s">
        <v>823</v>
      </c>
    </row>
    <row r="36" customFormat="false" ht="15" hidden="false" customHeight="false" outlineLevel="0" collapsed="false">
      <c r="A36" s="1" t="n">
        <v>35</v>
      </c>
      <c r="B36" s="1" t="s">
        <v>937</v>
      </c>
      <c r="C36" s="1" t="n">
        <v>2025</v>
      </c>
      <c r="D36" s="1" t="s">
        <v>132</v>
      </c>
      <c r="E36" s="1" t="s">
        <v>553</v>
      </c>
      <c r="F36" s="1" t="s">
        <v>843</v>
      </c>
      <c r="G36" s="1" t="s">
        <v>835</v>
      </c>
      <c r="H36" s="1" t="s">
        <v>16</v>
      </c>
      <c r="I36" s="1" t="s">
        <v>339</v>
      </c>
      <c r="J36" s="1" t="s">
        <v>22</v>
      </c>
      <c r="P36" s="1" t="s">
        <v>938</v>
      </c>
      <c r="Q36" s="1" t="s">
        <v>823</v>
      </c>
    </row>
    <row r="37" customFormat="false" ht="15" hidden="false" customHeight="false" outlineLevel="0" collapsed="false">
      <c r="A37" s="1" t="n">
        <v>36</v>
      </c>
      <c r="B37" s="1" t="s">
        <v>939</v>
      </c>
      <c r="C37" s="1" t="n">
        <v>2022</v>
      </c>
      <c r="D37" s="1" t="s">
        <v>134</v>
      </c>
      <c r="E37" s="1" t="s">
        <v>940</v>
      </c>
      <c r="F37" s="1" t="s">
        <v>821</v>
      </c>
      <c r="G37" s="1" t="s">
        <v>795</v>
      </c>
      <c r="H37" s="1" t="s">
        <v>941</v>
      </c>
      <c r="I37" s="1" t="s">
        <v>826</v>
      </c>
      <c r="J37" s="1" t="s">
        <v>20</v>
      </c>
      <c r="P37" s="1" t="s">
        <v>942</v>
      </c>
      <c r="Q37" s="1" t="s">
        <v>823</v>
      </c>
    </row>
    <row r="38" customFormat="false" ht="15" hidden="false" customHeight="false" outlineLevel="0" collapsed="false">
      <c r="A38" s="1" t="n">
        <v>37</v>
      </c>
      <c r="B38" s="1" t="s">
        <v>943</v>
      </c>
      <c r="C38" s="1" t="n">
        <v>2022</v>
      </c>
      <c r="D38" s="1" t="s">
        <v>944</v>
      </c>
      <c r="E38" s="1" t="s">
        <v>573</v>
      </c>
      <c r="F38" s="1" t="s">
        <v>821</v>
      </c>
      <c r="G38" s="1" t="s">
        <v>795</v>
      </c>
      <c r="H38" s="1" t="s">
        <v>945</v>
      </c>
      <c r="I38" s="1" t="s">
        <v>826</v>
      </c>
      <c r="J38" s="1" t="s">
        <v>20</v>
      </c>
      <c r="P38" s="1" t="s">
        <v>944</v>
      </c>
      <c r="Q38" s="1" t="s">
        <v>823</v>
      </c>
    </row>
    <row r="39" customFormat="false" ht="15" hidden="false" customHeight="false" outlineLevel="0" collapsed="false">
      <c r="A39" s="1" t="n">
        <v>38</v>
      </c>
      <c r="B39" s="1" t="s">
        <v>946</v>
      </c>
      <c r="C39" s="1" t="n">
        <v>2026</v>
      </c>
      <c r="D39" s="1" t="s">
        <v>947</v>
      </c>
      <c r="E39" s="1" t="s">
        <v>583</v>
      </c>
      <c r="F39" s="1" t="s">
        <v>821</v>
      </c>
      <c r="G39" s="1" t="s">
        <v>795</v>
      </c>
      <c r="H39" s="1" t="s">
        <v>933</v>
      </c>
      <c r="I39" s="1" t="s">
        <v>533</v>
      </c>
      <c r="J39" s="1" t="s">
        <v>19</v>
      </c>
      <c r="P39" s="1" t="s">
        <v>947</v>
      </c>
      <c r="Q39" s="1" t="s">
        <v>823</v>
      </c>
    </row>
    <row r="40" customFormat="false" ht="15" hidden="false" customHeight="false" outlineLevel="0" collapsed="false">
      <c r="A40" s="1" t="n">
        <v>39</v>
      </c>
      <c r="B40" s="1" t="s">
        <v>948</v>
      </c>
      <c r="C40" s="1" t="n">
        <v>2021</v>
      </c>
      <c r="D40" s="1" t="s">
        <v>949</v>
      </c>
      <c r="E40" s="1" t="s">
        <v>593</v>
      </c>
      <c r="F40" s="1" t="s">
        <v>821</v>
      </c>
      <c r="G40" s="1" t="s">
        <v>795</v>
      </c>
      <c r="H40" s="1" t="s">
        <v>950</v>
      </c>
      <c r="I40" s="1" t="s">
        <v>202</v>
      </c>
      <c r="J40" s="1" t="s">
        <v>951</v>
      </c>
      <c r="P40" s="1" t="s">
        <v>949</v>
      </c>
      <c r="Q40" s="1" t="s">
        <v>823</v>
      </c>
    </row>
    <row r="41" customFormat="false" ht="15" hidden="false" customHeight="false" outlineLevel="0" collapsed="false">
      <c r="A41" s="1" t="n">
        <v>40</v>
      </c>
      <c r="B41" s="1" t="s">
        <v>948</v>
      </c>
      <c r="C41" s="1" t="n">
        <v>2021</v>
      </c>
      <c r="D41" s="1" t="s">
        <v>952</v>
      </c>
      <c r="E41" s="1" t="s">
        <v>603</v>
      </c>
      <c r="F41" s="1" t="s">
        <v>821</v>
      </c>
      <c r="G41" s="1" t="s">
        <v>795</v>
      </c>
      <c r="H41" s="1" t="s">
        <v>953</v>
      </c>
      <c r="I41" s="1" t="s">
        <v>202</v>
      </c>
      <c r="J41" s="1" t="s">
        <v>954</v>
      </c>
      <c r="P41" s="1" t="s">
        <v>952</v>
      </c>
      <c r="Q41" s="1" t="s">
        <v>823</v>
      </c>
    </row>
    <row r="42" customFormat="false" ht="15" hidden="false" customHeight="false" outlineLevel="0" collapsed="false">
      <c r="A42" s="1" t="n">
        <v>41</v>
      </c>
      <c r="B42" s="1" t="s">
        <v>955</v>
      </c>
      <c r="C42" s="1" t="n">
        <v>2022</v>
      </c>
      <c r="D42" s="1" t="s">
        <v>956</v>
      </c>
      <c r="E42" s="1" t="s">
        <v>613</v>
      </c>
      <c r="F42" s="1" t="s">
        <v>21</v>
      </c>
      <c r="G42" s="1" t="s">
        <v>795</v>
      </c>
      <c r="H42" s="1" t="s">
        <v>957</v>
      </c>
      <c r="I42" s="1" t="s">
        <v>225</v>
      </c>
      <c r="J42" s="1" t="s">
        <v>21</v>
      </c>
      <c r="P42" s="1" t="s">
        <v>956</v>
      </c>
      <c r="Q42" s="1" t="s">
        <v>823</v>
      </c>
    </row>
    <row r="43" customFormat="false" ht="15" hidden="false" customHeight="false" outlineLevel="0" collapsed="false">
      <c r="A43" s="1" t="n">
        <v>42</v>
      </c>
      <c r="B43" s="1" t="s">
        <v>958</v>
      </c>
      <c r="C43" s="1" t="n">
        <v>2026</v>
      </c>
      <c r="D43" s="1" t="s">
        <v>959</v>
      </c>
      <c r="E43" s="1" t="s">
        <v>623</v>
      </c>
      <c r="F43" s="1" t="s">
        <v>821</v>
      </c>
      <c r="G43" s="1" t="s">
        <v>795</v>
      </c>
      <c r="H43" s="1" t="s">
        <v>960</v>
      </c>
      <c r="I43" s="1" t="s">
        <v>245</v>
      </c>
      <c r="J43" s="1" t="s">
        <v>22</v>
      </c>
      <c r="P43" s="1" t="s">
        <v>959</v>
      </c>
      <c r="Q43" s="1" t="s">
        <v>823</v>
      </c>
    </row>
    <row r="44" customFormat="false" ht="15" hidden="false" customHeight="false" outlineLevel="0" collapsed="false">
      <c r="A44" s="1" t="n">
        <v>43</v>
      </c>
      <c r="B44" s="1" t="s">
        <v>961</v>
      </c>
      <c r="C44" s="1" t="n">
        <v>2024</v>
      </c>
      <c r="D44" s="1" t="s">
        <v>962</v>
      </c>
      <c r="E44" s="1" t="s">
        <v>633</v>
      </c>
      <c r="F44" s="1" t="s">
        <v>21</v>
      </c>
      <c r="G44" s="1" t="s">
        <v>795</v>
      </c>
      <c r="H44" s="1" t="s">
        <v>963</v>
      </c>
      <c r="I44" s="1" t="s">
        <v>266</v>
      </c>
      <c r="J44" s="1" t="s">
        <v>109</v>
      </c>
      <c r="P44" s="1" t="s">
        <v>962</v>
      </c>
      <c r="Q44" s="1" t="s">
        <v>823</v>
      </c>
    </row>
    <row r="45" customFormat="false" ht="15" hidden="false" customHeight="false" outlineLevel="0" collapsed="false">
      <c r="A45" s="1" t="n">
        <v>44</v>
      </c>
      <c r="B45" s="1" t="s">
        <v>964</v>
      </c>
      <c r="C45" s="1" t="n">
        <v>2025</v>
      </c>
      <c r="D45" s="1" t="s">
        <v>965</v>
      </c>
      <c r="E45" s="1" t="s">
        <v>643</v>
      </c>
      <c r="F45" s="1" t="s">
        <v>821</v>
      </c>
      <c r="G45" s="1" t="s">
        <v>795</v>
      </c>
      <c r="H45" s="1" t="s">
        <v>966</v>
      </c>
      <c r="I45" s="1" t="s">
        <v>339</v>
      </c>
      <c r="J45" s="1" t="s">
        <v>22</v>
      </c>
      <c r="P45" s="1" t="s">
        <v>965</v>
      </c>
      <c r="Q45" s="1" t="s">
        <v>823</v>
      </c>
    </row>
    <row r="46" customFormat="false" ht="15" hidden="false" customHeight="false" outlineLevel="0" collapsed="false">
      <c r="A46" s="1" t="n">
        <v>45</v>
      </c>
      <c r="B46" s="1" t="s">
        <v>967</v>
      </c>
      <c r="C46" s="1" t="n">
        <v>2025</v>
      </c>
      <c r="D46" s="1" t="s">
        <v>968</v>
      </c>
      <c r="E46" s="1" t="s">
        <v>968</v>
      </c>
      <c r="F46" s="1" t="s">
        <v>821</v>
      </c>
      <c r="G46" s="1" t="s">
        <v>870</v>
      </c>
      <c r="H46" s="1" t="s">
        <v>14</v>
      </c>
      <c r="I46" s="1" t="s">
        <v>856</v>
      </c>
      <c r="J46" s="1" t="s">
        <v>22</v>
      </c>
      <c r="P46" s="1" t="s">
        <v>968</v>
      </c>
      <c r="Q46" s="1" t="s">
        <v>823</v>
      </c>
    </row>
    <row r="47" customFormat="false" ht="15" hidden="false" customHeight="false" outlineLevel="0" collapsed="false">
      <c r="A47" s="1" t="n">
        <v>46</v>
      </c>
      <c r="B47" s="1" t="s">
        <v>969</v>
      </c>
      <c r="C47" s="1" t="n">
        <v>2026</v>
      </c>
      <c r="D47" s="1" t="s">
        <v>970</v>
      </c>
      <c r="E47" s="1" t="s">
        <v>662</v>
      </c>
      <c r="F47" s="1" t="s">
        <v>821</v>
      </c>
      <c r="G47" s="1" t="s">
        <v>795</v>
      </c>
      <c r="H47" s="1" t="s">
        <v>971</v>
      </c>
      <c r="I47" s="1" t="s">
        <v>840</v>
      </c>
      <c r="J47" s="1" t="s">
        <v>67</v>
      </c>
      <c r="P47" s="1" t="s">
        <v>970</v>
      </c>
      <c r="Q47" s="1" t="s">
        <v>823</v>
      </c>
    </row>
    <row r="48" customFormat="false" ht="15" hidden="false" customHeight="false" outlineLevel="0" collapsed="false">
      <c r="A48" s="1" t="n">
        <v>47</v>
      </c>
      <c r="B48" s="1" t="s">
        <v>972</v>
      </c>
      <c r="C48" s="1" t="n">
        <v>2024</v>
      </c>
      <c r="D48" s="1" t="s">
        <v>973</v>
      </c>
      <c r="E48" s="1" t="s">
        <v>672</v>
      </c>
      <c r="F48" s="1" t="s">
        <v>821</v>
      </c>
      <c r="G48" s="1" t="s">
        <v>795</v>
      </c>
      <c r="H48" s="1" t="s">
        <v>974</v>
      </c>
      <c r="I48" s="1" t="s">
        <v>826</v>
      </c>
      <c r="J48" s="1" t="s">
        <v>975</v>
      </c>
      <c r="P48" s="1" t="s">
        <v>973</v>
      </c>
      <c r="Q48" s="1" t="s">
        <v>823</v>
      </c>
    </row>
    <row r="49" customFormat="false" ht="15" hidden="false" customHeight="false" outlineLevel="0" collapsed="false">
      <c r="A49" s="1" t="n">
        <v>48</v>
      </c>
      <c r="B49" s="1" t="s">
        <v>972</v>
      </c>
      <c r="C49" s="1" t="n">
        <v>2025</v>
      </c>
      <c r="D49" s="1" t="s">
        <v>976</v>
      </c>
      <c r="E49" s="1" t="s">
        <v>682</v>
      </c>
      <c r="F49" s="1" t="s">
        <v>821</v>
      </c>
      <c r="G49" s="1" t="s">
        <v>795</v>
      </c>
      <c r="H49" s="1" t="s">
        <v>977</v>
      </c>
      <c r="I49" s="1" t="s">
        <v>826</v>
      </c>
      <c r="J49" s="1" t="s">
        <v>975</v>
      </c>
      <c r="P49" s="1" t="s">
        <v>976</v>
      </c>
      <c r="Q49" s="1" t="s">
        <v>823</v>
      </c>
    </row>
    <row r="50" customFormat="false" ht="15" hidden="false" customHeight="false" outlineLevel="0" collapsed="false">
      <c r="A50" s="1" t="n">
        <v>49</v>
      </c>
      <c r="B50" s="1" t="s">
        <v>978</v>
      </c>
      <c r="C50" s="1" t="n">
        <v>2023</v>
      </c>
      <c r="D50" s="1" t="s">
        <v>979</v>
      </c>
      <c r="E50" s="1" t="s">
        <v>692</v>
      </c>
      <c r="F50" s="1" t="s">
        <v>821</v>
      </c>
      <c r="G50" s="1" t="s">
        <v>795</v>
      </c>
      <c r="H50" s="1" t="s">
        <v>980</v>
      </c>
      <c r="I50" s="1" t="s">
        <v>840</v>
      </c>
      <c r="J50" s="1" t="s">
        <v>20</v>
      </c>
      <c r="P50" s="1" t="s">
        <v>979</v>
      </c>
      <c r="Q50" s="1" t="s">
        <v>823</v>
      </c>
    </row>
    <row r="51" customFormat="false" ht="15" hidden="false" customHeight="false" outlineLevel="0" collapsed="false">
      <c r="A51" s="1" t="n">
        <v>50</v>
      </c>
      <c r="B51" s="1" t="s">
        <v>978</v>
      </c>
      <c r="C51" s="1" t="n">
        <v>2024</v>
      </c>
      <c r="D51" s="1" t="s">
        <v>981</v>
      </c>
      <c r="E51" s="1" t="s">
        <v>702</v>
      </c>
      <c r="F51" s="1" t="s">
        <v>878</v>
      </c>
      <c r="G51" s="1" t="s">
        <v>795</v>
      </c>
      <c r="H51" s="1" t="s">
        <v>982</v>
      </c>
      <c r="I51" s="1" t="s">
        <v>202</v>
      </c>
      <c r="J51" s="1" t="s">
        <v>67</v>
      </c>
      <c r="P51" s="1" t="s">
        <v>981</v>
      </c>
      <c r="Q51" s="1" t="s">
        <v>823</v>
      </c>
    </row>
    <row r="52" customFormat="false" ht="15" hidden="false" customHeight="false" outlineLevel="0" collapsed="false">
      <c r="A52" s="1" t="n">
        <v>51</v>
      </c>
      <c r="B52" s="1" t="s">
        <v>978</v>
      </c>
      <c r="C52" s="1" t="n">
        <v>2025</v>
      </c>
      <c r="D52" s="1" t="s">
        <v>983</v>
      </c>
      <c r="E52" s="1" t="s">
        <v>712</v>
      </c>
      <c r="F52" s="1" t="s">
        <v>21</v>
      </c>
      <c r="G52" s="1" t="s">
        <v>795</v>
      </c>
      <c r="H52" s="1" t="s">
        <v>984</v>
      </c>
      <c r="I52" s="1" t="s">
        <v>202</v>
      </c>
      <c r="J52" s="1" t="s">
        <v>985</v>
      </c>
      <c r="P52" s="1" t="s">
        <v>983</v>
      </c>
      <c r="Q52" s="1" t="s">
        <v>823</v>
      </c>
    </row>
    <row r="53" customFormat="false" ht="15" hidden="false" customHeight="false" outlineLevel="0" collapsed="false">
      <c r="A53" s="1" t="n">
        <v>52</v>
      </c>
      <c r="B53" s="1" t="s">
        <v>978</v>
      </c>
      <c r="C53" s="1" t="n">
        <v>2025</v>
      </c>
      <c r="D53" s="1" t="s">
        <v>986</v>
      </c>
      <c r="E53" s="1" t="s">
        <v>722</v>
      </c>
      <c r="F53" s="1" t="s">
        <v>878</v>
      </c>
      <c r="G53" s="1" t="s">
        <v>795</v>
      </c>
      <c r="H53" s="1" t="s">
        <v>987</v>
      </c>
      <c r="I53" s="1" t="s">
        <v>266</v>
      </c>
      <c r="J53" s="1" t="s">
        <v>988</v>
      </c>
      <c r="P53" s="1" t="s">
        <v>986</v>
      </c>
      <c r="Q53" s="1" t="s">
        <v>823</v>
      </c>
    </row>
    <row r="54" customFormat="false" ht="15" hidden="false" customHeight="false" outlineLevel="0" collapsed="false">
      <c r="A54" s="1" t="n">
        <v>53</v>
      </c>
      <c r="B54" s="1" t="s">
        <v>989</v>
      </c>
      <c r="C54" s="1" t="n">
        <v>2021</v>
      </c>
      <c r="D54" s="1" t="s">
        <v>990</v>
      </c>
      <c r="E54" s="1" t="s">
        <v>732</v>
      </c>
      <c r="F54" s="1" t="s">
        <v>821</v>
      </c>
      <c r="G54" s="1" t="s">
        <v>795</v>
      </c>
      <c r="H54" s="1" t="s">
        <v>991</v>
      </c>
      <c r="I54" s="1" t="s">
        <v>858</v>
      </c>
      <c r="J54" s="1" t="s">
        <v>20</v>
      </c>
      <c r="P54" s="1" t="s">
        <v>990</v>
      </c>
      <c r="Q54" s="1" t="s">
        <v>823</v>
      </c>
    </row>
    <row r="55" customFormat="false" ht="15" hidden="false" customHeight="false" outlineLevel="0" collapsed="false">
      <c r="A55" s="1" t="n">
        <v>54</v>
      </c>
      <c r="B55" s="1" t="s">
        <v>992</v>
      </c>
      <c r="C55" s="1" t="n">
        <v>2023</v>
      </c>
      <c r="D55" s="1" t="s">
        <v>993</v>
      </c>
      <c r="E55" s="1" t="s">
        <v>743</v>
      </c>
      <c r="F55" s="1" t="s">
        <v>821</v>
      </c>
      <c r="G55" s="1" t="s">
        <v>795</v>
      </c>
      <c r="H55" s="1" t="s">
        <v>994</v>
      </c>
      <c r="I55" s="1" t="s">
        <v>744</v>
      </c>
      <c r="J55" s="1" t="s">
        <v>926</v>
      </c>
      <c r="P55" s="1" t="s">
        <v>993</v>
      </c>
      <c r="Q55" s="1" t="s">
        <v>823</v>
      </c>
    </row>
    <row r="56" customFormat="false" ht="15" hidden="false" customHeight="false" outlineLevel="0" collapsed="false">
      <c r="A56" s="1" t="n">
        <v>55</v>
      </c>
      <c r="B56" s="1" t="s">
        <v>995</v>
      </c>
      <c r="C56" s="1" t="n">
        <v>2021</v>
      </c>
      <c r="D56" s="1" t="s">
        <v>996</v>
      </c>
      <c r="E56" s="1" t="s">
        <v>754</v>
      </c>
      <c r="F56" s="1" t="s">
        <v>821</v>
      </c>
      <c r="G56" s="1" t="s">
        <v>795</v>
      </c>
      <c r="H56" s="1" t="s">
        <v>997</v>
      </c>
      <c r="I56" s="1" t="s">
        <v>744</v>
      </c>
      <c r="J56" s="1" t="s">
        <v>67</v>
      </c>
      <c r="P56" s="1" t="s">
        <v>996</v>
      </c>
      <c r="Q56" s="1" t="s">
        <v>823</v>
      </c>
    </row>
    <row r="57" customFormat="false" ht="15" hidden="false" customHeight="false" outlineLevel="0" collapsed="false">
      <c r="A57" s="1" t="n">
        <v>56</v>
      </c>
      <c r="B57" s="1" t="s">
        <v>995</v>
      </c>
      <c r="C57" s="1" t="n">
        <v>2023</v>
      </c>
      <c r="D57" s="1" t="s">
        <v>175</v>
      </c>
      <c r="E57" s="1" t="s">
        <v>764</v>
      </c>
      <c r="F57" s="1" t="s">
        <v>878</v>
      </c>
      <c r="G57" s="1" t="s">
        <v>795</v>
      </c>
      <c r="H57" s="1" t="s">
        <v>998</v>
      </c>
      <c r="I57" s="1" t="s">
        <v>225</v>
      </c>
      <c r="J57" s="1" t="s">
        <v>67</v>
      </c>
      <c r="P57" s="1" t="s">
        <v>999</v>
      </c>
      <c r="Q57" s="1" t="s">
        <v>823</v>
      </c>
    </row>
    <row r="58" customFormat="false" ht="15" hidden="false" customHeight="false" outlineLevel="0" collapsed="false">
      <c r="A58" s="1" t="n">
        <v>57</v>
      </c>
      <c r="B58" s="1" t="s">
        <v>1000</v>
      </c>
      <c r="C58" s="1" t="n">
        <v>2024</v>
      </c>
      <c r="D58" s="1" t="s">
        <v>177</v>
      </c>
      <c r="E58" s="1" t="s">
        <v>774</v>
      </c>
      <c r="F58" s="1" t="s">
        <v>21</v>
      </c>
      <c r="G58" s="1" t="s">
        <v>835</v>
      </c>
      <c r="H58" s="1" t="s">
        <v>836</v>
      </c>
      <c r="I58" s="1" t="s">
        <v>775</v>
      </c>
      <c r="J58" s="1" t="s">
        <v>21</v>
      </c>
      <c r="P58" s="1" t="s">
        <v>1001</v>
      </c>
      <c r="Q58" s="1" t="s">
        <v>823</v>
      </c>
    </row>
    <row r="59" customFormat="false" ht="15" hidden="false" customHeight="false" outlineLevel="0" collapsed="false">
      <c r="A59" s="1" t="n">
        <v>58</v>
      </c>
      <c r="B59" s="1" t="s">
        <v>1002</v>
      </c>
      <c r="C59" s="1" t="n">
        <v>2024</v>
      </c>
      <c r="D59" s="1" t="s">
        <v>179</v>
      </c>
      <c r="E59" s="1" t="s">
        <v>179</v>
      </c>
      <c r="F59" s="1" t="s">
        <v>821</v>
      </c>
      <c r="G59" s="1" t="s">
        <v>795</v>
      </c>
      <c r="H59" s="1" t="s">
        <v>1003</v>
      </c>
      <c r="I59" s="1" t="s">
        <v>245</v>
      </c>
      <c r="J59" s="1" t="s">
        <v>1004</v>
      </c>
      <c r="P59" s="1" t="s">
        <v>1005</v>
      </c>
      <c r="Q59" s="1" t="s">
        <v>823</v>
      </c>
    </row>
    <row r="60" customFormat="false" ht="15" hidden="false" customHeight="false" outlineLevel="0" collapsed="false">
      <c r="A60" s="1" t="n">
        <v>59</v>
      </c>
      <c r="B60" s="1" t="s">
        <v>1006</v>
      </c>
      <c r="C60" s="1" t="n">
        <v>2026</v>
      </c>
      <c r="D60" s="1" t="s">
        <v>181</v>
      </c>
      <c r="E60" s="1" t="s">
        <v>181</v>
      </c>
      <c r="F60" s="1" t="s">
        <v>821</v>
      </c>
      <c r="G60" s="1" t="s">
        <v>795</v>
      </c>
      <c r="H60" s="1" t="s">
        <v>1007</v>
      </c>
      <c r="I60" s="1" t="s">
        <v>1008</v>
      </c>
      <c r="J60" s="1" t="s">
        <v>70</v>
      </c>
      <c r="L60" s="1" t="s">
        <v>1009</v>
      </c>
      <c r="M60" s="1" t="s">
        <v>1010</v>
      </c>
      <c r="N60" s="1" t="s">
        <v>1011</v>
      </c>
      <c r="P60" s="1" t="s">
        <v>794</v>
      </c>
      <c r="Q60" s="1" t="s">
        <v>823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52" min="3" style="1" width="14"/>
  </cols>
  <sheetData>
    <row r="1" customFormat="false" ht="34" hidden="false" customHeight="true" outlineLevel="0" collapsed="false">
      <c r="A1" s="6" t="s">
        <v>805</v>
      </c>
      <c r="B1" s="5" t="s">
        <v>1012</v>
      </c>
      <c r="C1" s="5" t="s">
        <v>810</v>
      </c>
      <c r="D1" s="5" t="s">
        <v>10</v>
      </c>
      <c r="E1" s="5" t="s">
        <v>12</v>
      </c>
      <c r="F1" s="5" t="s">
        <v>1013</v>
      </c>
      <c r="G1" s="5" t="s">
        <v>1014</v>
      </c>
      <c r="H1" s="5" t="s">
        <v>1015</v>
      </c>
      <c r="I1" s="5" t="s">
        <v>1016</v>
      </c>
      <c r="J1" s="5" t="s">
        <v>1017</v>
      </c>
      <c r="K1" s="5" t="s">
        <v>1018</v>
      </c>
      <c r="L1" s="5" t="s">
        <v>1019</v>
      </c>
      <c r="M1" s="5" t="s">
        <v>1020</v>
      </c>
      <c r="N1" s="5" t="s">
        <v>1021</v>
      </c>
      <c r="O1" s="5" t="s">
        <v>1022</v>
      </c>
      <c r="P1" s="5" t="s">
        <v>1023</v>
      </c>
      <c r="Q1" s="5" t="s">
        <v>1024</v>
      </c>
      <c r="R1" s="5" t="s">
        <v>1025</v>
      </c>
      <c r="S1" s="5" t="s">
        <v>1026</v>
      </c>
      <c r="T1" s="5" t="s">
        <v>900</v>
      </c>
      <c r="U1" s="5" t="s">
        <v>1027</v>
      </c>
      <c r="V1" s="5" t="s">
        <v>1028</v>
      </c>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s">
        <v>822</v>
      </c>
      <c r="D2" s="5" t="n">
        <v>0</v>
      </c>
      <c r="E2" s="5" t="n">
        <v>1</v>
      </c>
      <c r="F2" s="5" t="n">
        <v>1</v>
      </c>
      <c r="G2" s="5" t="n">
        <v>1</v>
      </c>
      <c r="H2" s="5" t="n">
        <v>0</v>
      </c>
      <c r="I2" s="5" t="n">
        <v>0</v>
      </c>
      <c r="J2" s="5" t="n">
        <v>0</v>
      </c>
      <c r="K2" s="5" t="n">
        <v>0</v>
      </c>
      <c r="L2" s="5" t="n">
        <v>0</v>
      </c>
      <c r="M2" s="5" t="n">
        <v>1</v>
      </c>
      <c r="N2" s="5" t="n">
        <v>0</v>
      </c>
      <c r="O2" s="5" t="n">
        <v>0</v>
      </c>
      <c r="P2" s="5" t="n">
        <v>0</v>
      </c>
      <c r="Q2" s="5" t="n">
        <v>0</v>
      </c>
      <c r="R2" s="5" t="n">
        <v>0</v>
      </c>
      <c r="S2" s="5" t="n">
        <v>0</v>
      </c>
      <c r="T2" s="5" t="n">
        <v>0</v>
      </c>
      <c r="U2" s="5" t="n">
        <v>0</v>
      </c>
      <c r="V2" s="5" t="n">
        <v>0</v>
      </c>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s">
        <v>822</v>
      </c>
      <c r="D3" s="5" t="n">
        <v>0</v>
      </c>
      <c r="E3" s="5" t="n">
        <v>1</v>
      </c>
      <c r="F3" s="5" t="n">
        <v>1</v>
      </c>
      <c r="G3" s="5" t="n">
        <v>1</v>
      </c>
      <c r="H3" s="5" t="n">
        <v>0</v>
      </c>
      <c r="I3" s="5" t="n">
        <v>0</v>
      </c>
      <c r="J3" s="5" t="n">
        <v>0</v>
      </c>
      <c r="K3" s="5" t="n">
        <v>0</v>
      </c>
      <c r="L3" s="5" t="n">
        <v>0</v>
      </c>
      <c r="M3" s="5" t="n">
        <v>1</v>
      </c>
      <c r="N3" s="5" t="n">
        <v>0</v>
      </c>
      <c r="O3" s="5" t="n">
        <v>0</v>
      </c>
      <c r="P3" s="5" t="n">
        <v>0</v>
      </c>
      <c r="Q3" s="5" t="n">
        <v>0</v>
      </c>
      <c r="R3" s="5" t="n">
        <v>0</v>
      </c>
      <c r="S3" s="5" t="n">
        <v>0</v>
      </c>
      <c r="T3" s="5" t="n">
        <v>0</v>
      </c>
      <c r="U3" s="5" t="n">
        <v>0</v>
      </c>
      <c r="V3" s="5" t="n">
        <v>0</v>
      </c>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s">
        <v>829</v>
      </c>
      <c r="D4" s="5" t="n">
        <v>0</v>
      </c>
      <c r="E4" s="5" t="n">
        <v>0</v>
      </c>
      <c r="F4" s="5" t="n">
        <v>1</v>
      </c>
      <c r="G4" s="5" t="n">
        <v>1</v>
      </c>
      <c r="H4" s="5" t="n">
        <v>0</v>
      </c>
      <c r="I4" s="5" t="n">
        <v>0</v>
      </c>
      <c r="J4" s="5" t="n">
        <v>0</v>
      </c>
      <c r="K4" s="5" t="n">
        <v>0</v>
      </c>
      <c r="L4" s="5" t="n">
        <v>0</v>
      </c>
      <c r="M4" s="5" t="n">
        <v>0</v>
      </c>
      <c r="N4" s="5" t="n">
        <v>0</v>
      </c>
      <c r="O4" s="5" t="n">
        <v>0</v>
      </c>
      <c r="P4" s="5" t="n">
        <v>0</v>
      </c>
      <c r="Q4" s="5" t="n">
        <v>0</v>
      </c>
      <c r="R4" s="5" t="n">
        <v>0</v>
      </c>
      <c r="S4" s="5" t="n">
        <v>0</v>
      </c>
      <c r="T4" s="5" t="n">
        <v>0</v>
      </c>
      <c r="U4" s="5" t="n">
        <v>0</v>
      </c>
      <c r="V4" s="5" t="n">
        <v>0</v>
      </c>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s">
        <v>831</v>
      </c>
      <c r="D5" s="5" t="n">
        <v>0</v>
      </c>
      <c r="E5" s="5" t="n">
        <v>1</v>
      </c>
      <c r="F5" s="5" t="n">
        <v>1</v>
      </c>
      <c r="G5" s="5" t="n">
        <v>1</v>
      </c>
      <c r="H5" s="5" t="n">
        <v>0</v>
      </c>
      <c r="I5" s="5" t="n">
        <v>0</v>
      </c>
      <c r="J5" s="5" t="n">
        <v>0</v>
      </c>
      <c r="K5" s="5" t="n">
        <v>0</v>
      </c>
      <c r="L5" s="5" t="n">
        <v>0</v>
      </c>
      <c r="M5" s="5" t="n">
        <v>1</v>
      </c>
      <c r="N5" s="5" t="n">
        <v>0</v>
      </c>
      <c r="O5" s="5" t="n">
        <v>0</v>
      </c>
      <c r="P5" s="5" t="n">
        <v>0</v>
      </c>
      <c r="Q5" s="5" t="n">
        <v>0</v>
      </c>
      <c r="R5" s="5" t="n">
        <v>0</v>
      </c>
      <c r="S5" s="5" t="n">
        <v>0</v>
      </c>
      <c r="T5" s="5" t="n">
        <v>0</v>
      </c>
      <c r="U5" s="5" t="n">
        <v>0</v>
      </c>
      <c r="V5" s="5" t="n">
        <v>0</v>
      </c>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s">
        <v>836</v>
      </c>
      <c r="D6" s="5" t="n">
        <v>1</v>
      </c>
      <c r="E6" s="5" t="n">
        <v>1</v>
      </c>
      <c r="F6" s="5" t="n">
        <v>1</v>
      </c>
      <c r="G6" s="5" t="n">
        <v>1</v>
      </c>
      <c r="H6" s="5" t="n">
        <v>0</v>
      </c>
      <c r="I6" s="5" t="n">
        <v>0</v>
      </c>
      <c r="J6" s="5" t="n">
        <v>0</v>
      </c>
      <c r="K6" s="5" t="n">
        <v>0</v>
      </c>
      <c r="L6" s="5" t="n">
        <v>0</v>
      </c>
      <c r="M6" s="5" t="n">
        <v>0</v>
      </c>
      <c r="N6" s="5" t="n">
        <v>0</v>
      </c>
      <c r="O6" s="5" t="n">
        <v>1</v>
      </c>
      <c r="P6" s="5" t="n">
        <v>0</v>
      </c>
      <c r="Q6" s="5" t="n">
        <v>0</v>
      </c>
      <c r="R6" s="5" t="n">
        <v>0</v>
      </c>
      <c r="S6" s="5" t="n">
        <v>1</v>
      </c>
      <c r="T6" s="5" t="n">
        <v>0</v>
      </c>
      <c r="U6" s="5" t="n">
        <v>1</v>
      </c>
      <c r="V6" s="5" t="n">
        <v>1</v>
      </c>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35.05" hidden="false" customHeight="false" outlineLevel="0" collapsed="false">
      <c r="A7" s="5" t="n">
        <v>6</v>
      </c>
      <c r="B7" s="5" t="s">
        <v>839</v>
      </c>
      <c r="C7" s="5" t="s">
        <v>17</v>
      </c>
      <c r="D7" s="5" t="n">
        <v>1</v>
      </c>
      <c r="E7" s="5" t="n">
        <v>1</v>
      </c>
      <c r="F7" s="5" t="n">
        <v>1</v>
      </c>
      <c r="G7" s="5" t="n">
        <v>1</v>
      </c>
      <c r="H7" s="5" t="n">
        <v>1</v>
      </c>
      <c r="I7" s="5" t="n">
        <v>1</v>
      </c>
      <c r="J7" s="5" t="n">
        <v>0</v>
      </c>
      <c r="K7" s="5" t="n">
        <v>0</v>
      </c>
      <c r="L7" s="5" t="n">
        <v>0</v>
      </c>
      <c r="M7" s="5" t="n">
        <v>0</v>
      </c>
      <c r="N7" s="5" t="n">
        <v>0</v>
      </c>
      <c r="O7" s="5" t="n">
        <v>1</v>
      </c>
      <c r="P7" s="5" t="n">
        <v>0</v>
      </c>
      <c r="Q7" s="5" t="n">
        <v>0</v>
      </c>
      <c r="R7" s="5" t="n">
        <v>0</v>
      </c>
      <c r="S7" s="5" t="n">
        <v>0</v>
      </c>
      <c r="T7" s="5" t="n">
        <v>0</v>
      </c>
      <c r="U7" s="5" t="n">
        <v>1</v>
      </c>
      <c r="V7" s="5" t="n">
        <v>1</v>
      </c>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s">
        <v>844</v>
      </c>
      <c r="D8" s="5" t="n">
        <v>1</v>
      </c>
      <c r="E8" s="5" t="n">
        <v>0</v>
      </c>
      <c r="F8" s="5" t="n">
        <v>0</v>
      </c>
      <c r="G8" s="5" t="n">
        <v>0</v>
      </c>
      <c r="H8" s="5" t="n">
        <v>0</v>
      </c>
      <c r="I8" s="5" t="n">
        <v>0</v>
      </c>
      <c r="J8" s="5" t="n">
        <v>0</v>
      </c>
      <c r="K8" s="5" t="n">
        <v>0</v>
      </c>
      <c r="L8" s="5" t="n">
        <v>0</v>
      </c>
      <c r="M8" s="5" t="n">
        <v>0</v>
      </c>
      <c r="N8" s="5" t="n">
        <v>0</v>
      </c>
      <c r="O8" s="5" t="n">
        <v>1</v>
      </c>
      <c r="P8" s="5" t="n">
        <v>1</v>
      </c>
      <c r="Q8" s="5" t="n">
        <v>0</v>
      </c>
      <c r="R8" s="5" t="n">
        <v>0</v>
      </c>
      <c r="S8" s="5" t="n">
        <v>0</v>
      </c>
      <c r="T8" s="5" t="n">
        <v>0</v>
      </c>
      <c r="U8" s="5" t="n">
        <v>1</v>
      </c>
      <c r="V8" s="5" t="n">
        <v>1</v>
      </c>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46.25" hidden="false" customHeight="false" outlineLevel="0" collapsed="false">
      <c r="A9" s="5" t="n">
        <v>8</v>
      </c>
      <c r="B9" s="5" t="s">
        <v>847</v>
      </c>
      <c r="C9" s="5" t="s">
        <v>849</v>
      </c>
      <c r="D9" s="5" t="n">
        <v>0</v>
      </c>
      <c r="E9" s="5" t="n">
        <v>1</v>
      </c>
      <c r="F9" s="5" t="n">
        <v>0</v>
      </c>
      <c r="G9" s="5" t="n">
        <v>0</v>
      </c>
      <c r="H9" s="5" t="n">
        <v>1</v>
      </c>
      <c r="I9" s="5" t="n">
        <v>1</v>
      </c>
      <c r="J9" s="5" t="n">
        <v>0</v>
      </c>
      <c r="K9" s="5" t="n">
        <v>0</v>
      </c>
      <c r="L9" s="5" t="n">
        <v>0</v>
      </c>
      <c r="M9" s="5" t="n">
        <v>0</v>
      </c>
      <c r="N9" s="5" t="n">
        <v>0</v>
      </c>
      <c r="O9" s="5" t="n">
        <v>1</v>
      </c>
      <c r="P9" s="5" t="n">
        <v>0</v>
      </c>
      <c r="Q9" s="5" t="n">
        <v>0</v>
      </c>
      <c r="R9" s="5" t="n">
        <v>0</v>
      </c>
      <c r="S9" s="5" t="n">
        <v>0</v>
      </c>
      <c r="T9" s="5" t="n">
        <v>1</v>
      </c>
      <c r="U9" s="5" t="n">
        <v>1</v>
      </c>
      <c r="V9" s="5" t="n">
        <v>1</v>
      </c>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s">
        <v>11</v>
      </c>
      <c r="D10" s="5" t="n">
        <v>1</v>
      </c>
      <c r="E10" s="5" t="n">
        <v>1</v>
      </c>
      <c r="F10" s="5" t="n">
        <v>1</v>
      </c>
      <c r="G10" s="5" t="n">
        <v>1</v>
      </c>
      <c r="H10" s="5" t="n">
        <v>0</v>
      </c>
      <c r="I10" s="5" t="n">
        <v>0</v>
      </c>
      <c r="J10" s="5" t="n">
        <v>0</v>
      </c>
      <c r="K10" s="5" t="n">
        <v>0</v>
      </c>
      <c r="L10" s="5" t="n">
        <v>0</v>
      </c>
      <c r="M10" s="5" t="n">
        <v>0</v>
      </c>
      <c r="N10" s="5" t="n">
        <v>0</v>
      </c>
      <c r="O10" s="5" t="n">
        <v>1</v>
      </c>
      <c r="P10" s="5" t="n">
        <v>0</v>
      </c>
      <c r="Q10" s="5" t="n">
        <v>0</v>
      </c>
      <c r="R10" s="5" t="n">
        <v>0</v>
      </c>
      <c r="S10" s="5" t="n">
        <v>0</v>
      </c>
      <c r="T10" s="5" t="n">
        <v>0</v>
      </c>
      <c r="U10" s="5" t="n">
        <v>1</v>
      </c>
      <c r="V10" s="5" t="n">
        <v>1</v>
      </c>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s">
        <v>11</v>
      </c>
      <c r="D11" s="5" t="n">
        <v>1</v>
      </c>
      <c r="E11" s="5" t="n">
        <v>1</v>
      </c>
      <c r="F11" s="5" t="n">
        <v>1</v>
      </c>
      <c r="G11" s="5" t="n">
        <v>1</v>
      </c>
      <c r="H11" s="5" t="n">
        <v>0</v>
      </c>
      <c r="I11" s="5" t="n">
        <v>0</v>
      </c>
      <c r="J11" s="5" t="n">
        <v>0</v>
      </c>
      <c r="K11" s="5" t="n">
        <v>0</v>
      </c>
      <c r="L11" s="5" t="n">
        <v>0</v>
      </c>
      <c r="M11" s="5" t="n">
        <v>0</v>
      </c>
      <c r="N11" s="5" t="n">
        <v>0</v>
      </c>
      <c r="O11" s="5" t="n">
        <v>1</v>
      </c>
      <c r="P11" s="5" t="n">
        <v>0</v>
      </c>
      <c r="Q11" s="5" t="n">
        <v>0</v>
      </c>
      <c r="R11" s="5" t="n">
        <v>0</v>
      </c>
      <c r="S11" s="5" t="n">
        <v>0</v>
      </c>
      <c r="T11" s="5" t="n">
        <v>0</v>
      </c>
      <c r="U11" s="5" t="n">
        <v>1</v>
      </c>
      <c r="V11" s="5" t="n">
        <v>1</v>
      </c>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s">
        <v>855</v>
      </c>
      <c r="D12" s="5" t="n">
        <v>0</v>
      </c>
      <c r="E12" s="5" t="n">
        <v>0</v>
      </c>
      <c r="F12" s="5" t="n">
        <v>0</v>
      </c>
      <c r="G12" s="5" t="n">
        <v>0</v>
      </c>
      <c r="H12" s="5" t="n">
        <v>0</v>
      </c>
      <c r="I12" s="5" t="n">
        <v>0</v>
      </c>
      <c r="J12" s="5" t="n">
        <v>0</v>
      </c>
      <c r="K12" s="5" t="n">
        <v>1</v>
      </c>
      <c r="L12" s="5" t="n">
        <v>0</v>
      </c>
      <c r="M12" s="5" t="n">
        <v>0</v>
      </c>
      <c r="N12" s="5" t="n">
        <v>0</v>
      </c>
      <c r="O12" s="5" t="n">
        <v>0</v>
      </c>
      <c r="P12" s="5" t="n">
        <v>0</v>
      </c>
      <c r="Q12" s="5" t="n">
        <v>0</v>
      </c>
      <c r="R12" s="5" t="n">
        <v>0</v>
      </c>
      <c r="S12" s="5" t="n">
        <v>0</v>
      </c>
      <c r="T12" s="5" t="n">
        <v>1</v>
      </c>
      <c r="U12" s="5" t="n">
        <v>0</v>
      </c>
      <c r="V12" s="5" t="n">
        <v>0</v>
      </c>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s">
        <v>855</v>
      </c>
      <c r="D13" s="5" t="n">
        <v>0</v>
      </c>
      <c r="E13" s="5" t="n">
        <v>0</v>
      </c>
      <c r="F13" s="5" t="n">
        <v>1</v>
      </c>
      <c r="G13" s="5" t="n">
        <v>1</v>
      </c>
      <c r="H13" s="5" t="n">
        <v>0</v>
      </c>
      <c r="I13" s="5" t="n">
        <v>0</v>
      </c>
      <c r="J13" s="5" t="n">
        <v>0</v>
      </c>
      <c r="K13" s="5" t="n">
        <v>1</v>
      </c>
      <c r="L13" s="5" t="n">
        <v>0</v>
      </c>
      <c r="M13" s="5" t="n">
        <v>0</v>
      </c>
      <c r="N13" s="5" t="n">
        <v>0</v>
      </c>
      <c r="O13" s="5" t="n">
        <v>0</v>
      </c>
      <c r="P13" s="5" t="n">
        <v>0</v>
      </c>
      <c r="Q13" s="5" t="n">
        <v>0</v>
      </c>
      <c r="R13" s="5" t="n">
        <v>0</v>
      </c>
      <c r="S13" s="5" t="n">
        <v>0</v>
      </c>
      <c r="T13" s="5" t="n">
        <v>1</v>
      </c>
      <c r="U13" s="5" t="n">
        <v>0</v>
      </c>
      <c r="V13" s="5" t="n">
        <v>0</v>
      </c>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35.05" hidden="false" customHeight="false" outlineLevel="0" collapsed="false">
      <c r="A14" s="5" t="n">
        <v>13</v>
      </c>
      <c r="B14" s="5" t="s">
        <v>860</v>
      </c>
      <c r="C14" s="5" t="s">
        <v>861</v>
      </c>
      <c r="D14" s="5" t="n">
        <v>0</v>
      </c>
      <c r="E14" s="5" t="n">
        <v>0</v>
      </c>
      <c r="F14" s="5" t="n">
        <v>0</v>
      </c>
      <c r="G14" s="5" t="n">
        <v>0</v>
      </c>
      <c r="H14" s="5" t="n">
        <v>0</v>
      </c>
      <c r="I14" s="5" t="n">
        <v>0</v>
      </c>
      <c r="J14" s="5" t="n">
        <v>0</v>
      </c>
      <c r="K14" s="5" t="n">
        <v>0</v>
      </c>
      <c r="L14" s="5" t="n">
        <v>0</v>
      </c>
      <c r="M14" s="5" t="n">
        <v>0</v>
      </c>
      <c r="N14" s="5" t="n">
        <v>0</v>
      </c>
      <c r="O14" s="5" t="n">
        <v>0</v>
      </c>
      <c r="P14" s="5" t="n">
        <v>0</v>
      </c>
      <c r="Q14" s="5" t="n">
        <v>0</v>
      </c>
      <c r="R14" s="5" t="n">
        <v>0</v>
      </c>
      <c r="S14" s="5" t="n">
        <v>1</v>
      </c>
      <c r="T14" s="5" t="n">
        <v>0</v>
      </c>
      <c r="U14" s="5" t="n">
        <v>0</v>
      </c>
      <c r="V14" s="5" t="n">
        <v>0</v>
      </c>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35.05" hidden="false" customHeight="false" outlineLevel="0" collapsed="false">
      <c r="A15" s="5" t="n">
        <v>14</v>
      </c>
      <c r="B15" s="5" t="s">
        <v>864</v>
      </c>
      <c r="C15" s="5" t="s">
        <v>865</v>
      </c>
      <c r="D15" s="5" t="n">
        <v>1</v>
      </c>
      <c r="E15" s="5" t="n">
        <v>0</v>
      </c>
      <c r="F15" s="5" t="n">
        <v>0</v>
      </c>
      <c r="G15" s="5" t="n">
        <v>0</v>
      </c>
      <c r="H15" s="5" t="n">
        <v>0</v>
      </c>
      <c r="I15" s="5" t="n">
        <v>0</v>
      </c>
      <c r="J15" s="5" t="n">
        <v>0</v>
      </c>
      <c r="K15" s="5" t="n">
        <v>0</v>
      </c>
      <c r="L15" s="5" t="n">
        <v>0</v>
      </c>
      <c r="M15" s="5" t="n">
        <v>0</v>
      </c>
      <c r="N15" s="5" t="n">
        <v>0</v>
      </c>
      <c r="O15" s="5" t="n">
        <v>0</v>
      </c>
      <c r="P15" s="5" t="n">
        <v>0</v>
      </c>
      <c r="Q15" s="5" t="n">
        <v>0</v>
      </c>
      <c r="R15" s="5" t="n">
        <v>0</v>
      </c>
      <c r="S15" s="5" t="n">
        <v>0</v>
      </c>
      <c r="T15" s="5" t="n">
        <v>0</v>
      </c>
      <c r="U15" s="5" t="n">
        <v>0</v>
      </c>
      <c r="V15" s="5" t="n">
        <v>0</v>
      </c>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s">
        <v>867</v>
      </c>
      <c r="D16" s="5" t="n">
        <v>1</v>
      </c>
      <c r="E16" s="5" t="n">
        <v>1</v>
      </c>
      <c r="F16" s="5" t="n">
        <v>0</v>
      </c>
      <c r="G16" s="5" t="n">
        <v>0</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t="n">
        <v>0</v>
      </c>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35.05" hidden="false" customHeight="false" outlineLevel="0" collapsed="false">
      <c r="A17" s="5" t="n">
        <v>16</v>
      </c>
      <c r="B17" s="5" t="s">
        <v>869</v>
      </c>
      <c r="C17" s="5" t="s">
        <v>14</v>
      </c>
      <c r="D17" s="5" t="n">
        <v>1</v>
      </c>
      <c r="E17" s="5" t="n">
        <v>1</v>
      </c>
      <c r="F17" s="5" t="n">
        <v>1</v>
      </c>
      <c r="G17" s="5" t="n">
        <v>1</v>
      </c>
      <c r="H17" s="5" t="n">
        <v>0</v>
      </c>
      <c r="I17" s="5" t="n">
        <v>0</v>
      </c>
      <c r="J17" s="5" t="n">
        <v>0</v>
      </c>
      <c r="K17" s="5" t="n">
        <v>1</v>
      </c>
      <c r="L17" s="5" t="n">
        <v>0</v>
      </c>
      <c r="M17" s="5" t="n">
        <v>0</v>
      </c>
      <c r="N17" s="5" t="n">
        <v>0</v>
      </c>
      <c r="O17" s="5" t="n">
        <v>1</v>
      </c>
      <c r="P17" s="5" t="n">
        <v>0</v>
      </c>
      <c r="Q17" s="5" t="n">
        <v>0</v>
      </c>
      <c r="R17" s="5" t="n">
        <v>0</v>
      </c>
      <c r="S17" s="5" t="n">
        <v>0</v>
      </c>
      <c r="T17" s="5" t="n">
        <v>0</v>
      </c>
      <c r="U17" s="5" t="n">
        <v>1</v>
      </c>
      <c r="V17" s="5" t="n">
        <v>1</v>
      </c>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s">
        <v>873</v>
      </c>
      <c r="D18" s="5" t="n">
        <v>0</v>
      </c>
      <c r="E18" s="5" t="n">
        <v>0</v>
      </c>
      <c r="F18" s="5" t="n">
        <v>1</v>
      </c>
      <c r="G18" s="5" t="n">
        <v>1</v>
      </c>
      <c r="H18" s="5" t="n">
        <v>0</v>
      </c>
      <c r="I18" s="5" t="n">
        <v>0</v>
      </c>
      <c r="J18" s="5" t="n">
        <v>1</v>
      </c>
      <c r="K18" s="5" t="n">
        <v>0</v>
      </c>
      <c r="L18" s="5" t="n">
        <v>0</v>
      </c>
      <c r="M18" s="5" t="n">
        <v>0</v>
      </c>
      <c r="N18" s="5" t="n">
        <v>0</v>
      </c>
      <c r="O18" s="5" t="n">
        <v>0</v>
      </c>
      <c r="P18" s="5" t="n">
        <v>0</v>
      </c>
      <c r="Q18" s="5" t="n">
        <v>0</v>
      </c>
      <c r="R18" s="5" t="n">
        <v>0</v>
      </c>
      <c r="S18" s="5" t="n">
        <v>0</v>
      </c>
      <c r="T18" s="5" t="n">
        <v>0</v>
      </c>
      <c r="U18" s="5" t="n">
        <v>0</v>
      </c>
      <c r="V18" s="5" t="n">
        <v>0</v>
      </c>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s">
        <v>879</v>
      </c>
      <c r="D19" s="5" t="n">
        <v>0</v>
      </c>
      <c r="E19" s="5" t="n">
        <v>1</v>
      </c>
      <c r="F19" s="5" t="n">
        <v>0</v>
      </c>
      <c r="G19" s="5" t="n">
        <v>0</v>
      </c>
      <c r="H19" s="5" t="n">
        <v>1</v>
      </c>
      <c r="I19" s="5" t="n">
        <v>1</v>
      </c>
      <c r="J19" s="5" t="n">
        <v>0</v>
      </c>
      <c r="K19" s="5" t="n">
        <v>0</v>
      </c>
      <c r="L19" s="5" t="n">
        <v>0</v>
      </c>
      <c r="M19" s="5" t="n">
        <v>0</v>
      </c>
      <c r="N19" s="5" t="n">
        <v>0</v>
      </c>
      <c r="O19" s="5" t="n">
        <v>0</v>
      </c>
      <c r="P19" s="5" t="n">
        <v>0</v>
      </c>
      <c r="Q19" s="5" t="n">
        <v>0</v>
      </c>
      <c r="R19" s="5" t="n">
        <v>1</v>
      </c>
      <c r="S19" s="5" t="n">
        <v>0</v>
      </c>
      <c r="T19" s="5" t="n">
        <v>0</v>
      </c>
      <c r="U19" s="5" t="n">
        <v>0</v>
      </c>
      <c r="V19" s="5" t="n">
        <v>0</v>
      </c>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35.05" hidden="false" customHeight="false" outlineLevel="0" collapsed="false">
      <c r="A20" s="5" t="n">
        <v>19</v>
      </c>
      <c r="B20" s="5" t="s">
        <v>882</v>
      </c>
      <c r="C20" s="5" t="s">
        <v>883</v>
      </c>
      <c r="D20" s="5" t="n">
        <v>0</v>
      </c>
      <c r="E20" s="5" t="n">
        <v>1</v>
      </c>
      <c r="F20" s="5" t="n">
        <v>0</v>
      </c>
      <c r="G20" s="5" t="n">
        <v>0</v>
      </c>
      <c r="H20" s="5" t="n">
        <v>0</v>
      </c>
      <c r="I20" s="5" t="n">
        <v>0</v>
      </c>
      <c r="J20" s="5" t="n">
        <v>0</v>
      </c>
      <c r="K20" s="5" t="n">
        <v>0</v>
      </c>
      <c r="L20" s="5" t="n">
        <v>0</v>
      </c>
      <c r="M20" s="5" t="n">
        <v>1</v>
      </c>
      <c r="N20" s="5" t="n">
        <v>0</v>
      </c>
      <c r="O20" s="5" t="n">
        <v>0</v>
      </c>
      <c r="P20" s="5" t="n">
        <v>0</v>
      </c>
      <c r="Q20" s="5" t="n">
        <v>0</v>
      </c>
      <c r="R20" s="5" t="n">
        <v>0</v>
      </c>
      <c r="S20" s="5" t="n">
        <v>0</v>
      </c>
      <c r="T20" s="5" t="n">
        <v>0</v>
      </c>
      <c r="U20" s="5" t="n">
        <v>0</v>
      </c>
      <c r="V20" s="5" t="n">
        <v>0</v>
      </c>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s">
        <v>886</v>
      </c>
      <c r="D21" s="5" t="n">
        <v>1</v>
      </c>
      <c r="E21" s="5" t="n">
        <v>0</v>
      </c>
      <c r="F21" s="5" t="n">
        <v>0</v>
      </c>
      <c r="G21" s="5" t="n">
        <v>0</v>
      </c>
      <c r="H21" s="5" t="n">
        <v>0</v>
      </c>
      <c r="I21" s="5" t="n">
        <v>0</v>
      </c>
      <c r="J21" s="5" t="n">
        <v>0</v>
      </c>
      <c r="K21" s="5" t="n">
        <v>0</v>
      </c>
      <c r="L21" s="5" t="n">
        <v>0</v>
      </c>
      <c r="M21" s="5" t="n">
        <v>0</v>
      </c>
      <c r="N21" s="5" t="n">
        <v>0</v>
      </c>
      <c r="O21" s="5" t="n">
        <v>0</v>
      </c>
      <c r="P21" s="5" t="n">
        <v>1</v>
      </c>
      <c r="Q21" s="5" t="n">
        <v>0</v>
      </c>
      <c r="R21" s="5" t="n">
        <v>0</v>
      </c>
      <c r="S21" s="5" t="n">
        <v>0</v>
      </c>
      <c r="T21" s="5" t="n">
        <v>0</v>
      </c>
      <c r="U21" s="5" t="n">
        <v>0</v>
      </c>
      <c r="V21" s="5" t="n">
        <v>0</v>
      </c>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23.85" hidden="false" customHeight="false" outlineLevel="0" collapsed="false">
      <c r="A22" s="5" t="n">
        <v>21</v>
      </c>
      <c r="B22" s="5" t="s">
        <v>102</v>
      </c>
      <c r="C22" s="5" t="s">
        <v>888</v>
      </c>
      <c r="D22" s="5" t="n">
        <v>1</v>
      </c>
      <c r="E22" s="5" t="n">
        <v>0</v>
      </c>
      <c r="F22" s="5" t="n">
        <v>0</v>
      </c>
      <c r="G22" s="5" t="n">
        <v>0</v>
      </c>
      <c r="H22" s="5" t="n">
        <v>0</v>
      </c>
      <c r="I22" s="5" t="n">
        <v>0</v>
      </c>
      <c r="J22" s="5" t="n">
        <v>0</v>
      </c>
      <c r="K22" s="5" t="n">
        <v>0</v>
      </c>
      <c r="L22" s="5" t="n">
        <v>0</v>
      </c>
      <c r="M22" s="5" t="n">
        <v>0</v>
      </c>
      <c r="N22" s="5" t="n">
        <v>0</v>
      </c>
      <c r="O22" s="5" t="n">
        <v>0</v>
      </c>
      <c r="P22" s="5" t="n">
        <v>1</v>
      </c>
      <c r="Q22" s="5" t="n">
        <v>0</v>
      </c>
      <c r="R22" s="5" t="n">
        <v>0</v>
      </c>
      <c r="S22" s="5" t="n">
        <v>0</v>
      </c>
      <c r="T22" s="5" t="n">
        <v>0</v>
      </c>
      <c r="U22" s="5" t="n">
        <v>0</v>
      </c>
      <c r="V22" s="5" t="n">
        <v>0</v>
      </c>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35.05" hidden="false" customHeight="false" outlineLevel="0" collapsed="false">
      <c r="A23" s="5" t="n">
        <v>22</v>
      </c>
      <c r="B23" s="5" t="s">
        <v>892</v>
      </c>
      <c r="C23" s="5" t="s">
        <v>893</v>
      </c>
      <c r="D23" s="5" t="n">
        <v>1</v>
      </c>
      <c r="E23" s="5" t="n">
        <v>0</v>
      </c>
      <c r="F23" s="5" t="n">
        <v>0</v>
      </c>
      <c r="G23" s="5" t="n">
        <v>0</v>
      </c>
      <c r="H23" s="5" t="n">
        <v>0</v>
      </c>
      <c r="I23" s="5" t="n">
        <v>0</v>
      </c>
      <c r="J23" s="5" t="n">
        <v>0</v>
      </c>
      <c r="K23" s="5" t="n">
        <v>0</v>
      </c>
      <c r="L23" s="5" t="n">
        <v>0</v>
      </c>
      <c r="M23" s="5" t="n">
        <v>0</v>
      </c>
      <c r="N23" s="5" t="n">
        <v>0</v>
      </c>
      <c r="O23" s="5" t="n">
        <v>1</v>
      </c>
      <c r="P23" s="5" t="n">
        <v>0</v>
      </c>
      <c r="Q23" s="5" t="n">
        <v>0</v>
      </c>
      <c r="R23" s="5" t="n">
        <v>0</v>
      </c>
      <c r="S23" s="5" t="n">
        <v>0</v>
      </c>
      <c r="T23" s="5" t="n">
        <v>0</v>
      </c>
      <c r="U23" s="5" t="n">
        <v>1</v>
      </c>
      <c r="V23" s="5" t="n">
        <v>1</v>
      </c>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s">
        <v>897</v>
      </c>
      <c r="D24" s="5" t="n">
        <v>0</v>
      </c>
      <c r="E24" s="5" t="n">
        <v>0</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s">
        <v>900</v>
      </c>
      <c r="D25" s="5" t="n">
        <v>1</v>
      </c>
      <c r="E25" s="5" t="n">
        <v>1</v>
      </c>
      <c r="F25" s="5" t="n">
        <v>1</v>
      </c>
      <c r="G25" s="5" t="n">
        <v>1</v>
      </c>
      <c r="H25" s="5" t="n">
        <v>0</v>
      </c>
      <c r="I25" s="5" t="n">
        <v>0</v>
      </c>
      <c r="J25" s="5" t="n">
        <v>1</v>
      </c>
      <c r="K25" s="5" t="n">
        <v>1</v>
      </c>
      <c r="L25" s="5" t="n">
        <v>0</v>
      </c>
      <c r="M25" s="5" t="n">
        <v>0</v>
      </c>
      <c r="N25" s="5" t="n">
        <v>0</v>
      </c>
      <c r="O25" s="5" t="n">
        <v>0</v>
      </c>
      <c r="P25" s="5" t="n">
        <v>0</v>
      </c>
      <c r="Q25" s="5" t="n">
        <v>0</v>
      </c>
      <c r="R25" s="5" t="n">
        <v>0</v>
      </c>
      <c r="S25" s="5" t="n">
        <v>0</v>
      </c>
      <c r="T25" s="5" t="n">
        <v>1</v>
      </c>
      <c r="U25" s="5" t="n">
        <v>0</v>
      </c>
      <c r="V25" s="5" t="n">
        <v>0</v>
      </c>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35.05" hidden="false" customHeight="false" outlineLevel="0" collapsed="false">
      <c r="A26" s="5" t="n">
        <v>25</v>
      </c>
      <c r="B26" s="5" t="s">
        <v>902</v>
      </c>
      <c r="C26" s="5" t="s">
        <v>903</v>
      </c>
      <c r="D26" s="5" t="n">
        <v>1</v>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46.25" hidden="false" customHeight="false" outlineLevel="0" collapsed="false">
      <c r="A27" s="5" t="n">
        <v>26</v>
      </c>
      <c r="B27" s="5" t="s">
        <v>906</v>
      </c>
      <c r="C27" s="5" t="s">
        <v>907</v>
      </c>
      <c r="D27" s="5" t="n">
        <v>0</v>
      </c>
      <c r="E27" s="5" t="n">
        <v>0</v>
      </c>
      <c r="F27" s="5" t="n">
        <v>1</v>
      </c>
      <c r="G27" s="5" t="n">
        <v>1</v>
      </c>
      <c r="H27" s="5" t="n">
        <v>0</v>
      </c>
      <c r="I27" s="5" t="n">
        <v>0</v>
      </c>
      <c r="J27" s="5" t="n">
        <v>0</v>
      </c>
      <c r="K27" s="5" t="n">
        <v>0</v>
      </c>
      <c r="L27" s="5" t="n">
        <v>0</v>
      </c>
      <c r="M27" s="5" t="n">
        <v>0</v>
      </c>
      <c r="N27" s="5" t="n">
        <v>1</v>
      </c>
      <c r="O27" s="5" t="n">
        <v>0</v>
      </c>
      <c r="P27" s="5" t="n">
        <v>0</v>
      </c>
      <c r="Q27" s="5" t="n">
        <v>0</v>
      </c>
      <c r="R27" s="5" t="n">
        <v>0</v>
      </c>
      <c r="S27" s="5" t="n">
        <v>1</v>
      </c>
      <c r="T27" s="5" t="n">
        <v>0</v>
      </c>
      <c r="U27" s="5" t="n">
        <v>0</v>
      </c>
      <c r="V27" s="5" t="n">
        <v>0</v>
      </c>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35.05" hidden="false" customHeight="false" outlineLevel="0" collapsed="false">
      <c r="A28" s="5" t="n">
        <v>27</v>
      </c>
      <c r="B28" s="5" t="s">
        <v>115</v>
      </c>
      <c r="C28" s="5" t="s">
        <v>910</v>
      </c>
      <c r="D28" s="5" t="n">
        <v>1</v>
      </c>
      <c r="E28" s="5" t="n">
        <v>0</v>
      </c>
      <c r="F28" s="5" t="n">
        <v>1</v>
      </c>
      <c r="G28" s="5" t="n">
        <v>1</v>
      </c>
      <c r="H28" s="5" t="n">
        <v>0</v>
      </c>
      <c r="I28" s="5" t="n">
        <v>0</v>
      </c>
      <c r="J28" s="5" t="n">
        <v>1</v>
      </c>
      <c r="K28" s="5" t="n">
        <v>0</v>
      </c>
      <c r="L28" s="5" t="n">
        <v>0</v>
      </c>
      <c r="M28" s="5" t="n">
        <v>0</v>
      </c>
      <c r="N28" s="5" t="n">
        <v>0</v>
      </c>
      <c r="O28" s="5" t="n">
        <v>1</v>
      </c>
      <c r="P28" s="5" t="n">
        <v>0</v>
      </c>
      <c r="Q28" s="5" t="n">
        <v>0</v>
      </c>
      <c r="R28" s="5" t="n">
        <v>0</v>
      </c>
      <c r="S28" s="5" t="n">
        <v>0</v>
      </c>
      <c r="T28" s="5" t="n">
        <v>0</v>
      </c>
      <c r="U28" s="5" t="n">
        <v>1</v>
      </c>
      <c r="V28" s="5" t="n">
        <v>1</v>
      </c>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35.05" hidden="false" customHeight="false" outlineLevel="0" collapsed="false">
      <c r="A29" s="5" t="n">
        <v>28</v>
      </c>
      <c r="B29" s="5" t="s">
        <v>914</v>
      </c>
      <c r="C29" s="5" t="s">
        <v>915</v>
      </c>
      <c r="D29" s="5" t="n">
        <v>1</v>
      </c>
      <c r="E29" s="5" t="n">
        <v>1</v>
      </c>
      <c r="F29" s="5" t="n">
        <v>0</v>
      </c>
      <c r="G29" s="5" t="n">
        <v>0</v>
      </c>
      <c r="H29" s="5" t="n">
        <v>0</v>
      </c>
      <c r="I29" s="5" t="n">
        <v>0</v>
      </c>
      <c r="J29" s="5" t="n">
        <v>0</v>
      </c>
      <c r="K29" s="5" t="n">
        <v>0</v>
      </c>
      <c r="L29" s="5" t="n">
        <v>0</v>
      </c>
      <c r="M29" s="5" t="n">
        <v>0</v>
      </c>
      <c r="N29" s="5" t="n">
        <v>0</v>
      </c>
      <c r="O29" s="5" t="n">
        <v>0</v>
      </c>
      <c r="P29" s="5" t="n">
        <v>1</v>
      </c>
      <c r="Q29" s="5" t="n">
        <v>0</v>
      </c>
      <c r="R29" s="5" t="n">
        <v>0</v>
      </c>
      <c r="S29" s="5" t="n">
        <v>0</v>
      </c>
      <c r="T29" s="5" t="n">
        <v>0</v>
      </c>
      <c r="U29" s="5" t="n">
        <v>0</v>
      </c>
      <c r="V29" s="5" t="n">
        <v>0</v>
      </c>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s">
        <v>919</v>
      </c>
      <c r="D30" s="5" t="n">
        <v>1</v>
      </c>
      <c r="E30" s="5" t="n">
        <v>0</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c r="U30" s="5" t="n">
        <v>0</v>
      </c>
      <c r="V30" s="5" t="n">
        <v>0</v>
      </c>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s">
        <v>922</v>
      </c>
      <c r="D31" s="5" t="n">
        <v>1</v>
      </c>
      <c r="E31" s="5" t="n">
        <v>1</v>
      </c>
      <c r="F31" s="5" t="n">
        <v>0</v>
      </c>
      <c r="G31" s="5" t="n">
        <v>0</v>
      </c>
      <c r="H31" s="5" t="n">
        <v>0</v>
      </c>
      <c r="I31" s="5" t="n">
        <v>0</v>
      </c>
      <c r="J31" s="5" t="n">
        <v>0</v>
      </c>
      <c r="K31" s="5" t="n">
        <v>0</v>
      </c>
      <c r="L31" s="5" t="n">
        <v>0</v>
      </c>
      <c r="M31" s="5" t="n">
        <v>0</v>
      </c>
      <c r="N31" s="5" t="n">
        <v>0</v>
      </c>
      <c r="O31" s="5" t="n">
        <v>1</v>
      </c>
      <c r="P31" s="5" t="n">
        <v>0</v>
      </c>
      <c r="Q31" s="5" t="n">
        <v>0</v>
      </c>
      <c r="R31" s="5" t="n">
        <v>0</v>
      </c>
      <c r="S31" s="5" t="n">
        <v>0</v>
      </c>
      <c r="T31" s="5" t="n">
        <v>0</v>
      </c>
      <c r="U31" s="5" t="n">
        <v>1</v>
      </c>
      <c r="V31" s="5" t="n">
        <v>1</v>
      </c>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s">
        <v>925</v>
      </c>
      <c r="D32" s="5" t="n">
        <v>1</v>
      </c>
      <c r="E32" s="5" t="n">
        <v>1</v>
      </c>
      <c r="F32" s="5" t="n">
        <v>1</v>
      </c>
      <c r="G32" s="5" t="n">
        <v>1</v>
      </c>
      <c r="H32" s="5" t="n">
        <v>0</v>
      </c>
      <c r="I32" s="5" t="n">
        <v>0</v>
      </c>
      <c r="J32" s="5" t="n">
        <v>0</v>
      </c>
      <c r="K32" s="5" t="n">
        <v>0</v>
      </c>
      <c r="L32" s="5" t="n">
        <v>0</v>
      </c>
      <c r="M32" s="5" t="n">
        <v>0</v>
      </c>
      <c r="N32" s="5" t="n">
        <v>0</v>
      </c>
      <c r="O32" s="5" t="n">
        <v>1</v>
      </c>
      <c r="P32" s="5" t="n">
        <v>0</v>
      </c>
      <c r="Q32" s="5" t="n">
        <v>0</v>
      </c>
      <c r="R32" s="5" t="n">
        <v>0</v>
      </c>
      <c r="S32" s="5" t="n">
        <v>1</v>
      </c>
      <c r="T32" s="5" t="n">
        <v>0</v>
      </c>
      <c r="U32" s="5" t="n">
        <v>1</v>
      </c>
      <c r="V32" s="5" t="n">
        <v>1</v>
      </c>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35.05" hidden="false" customHeight="false" outlineLevel="0" collapsed="false">
      <c r="A33" s="5" t="n">
        <v>32</v>
      </c>
      <c r="B33" s="5" t="s">
        <v>928</v>
      </c>
      <c r="C33" s="5" t="s">
        <v>929</v>
      </c>
      <c r="D33" s="5" t="n">
        <v>1</v>
      </c>
      <c r="E33" s="5" t="n">
        <v>1</v>
      </c>
      <c r="F33" s="5" t="n">
        <v>1</v>
      </c>
      <c r="G33" s="5" t="n">
        <v>1</v>
      </c>
      <c r="H33" s="5" t="n">
        <v>0</v>
      </c>
      <c r="I33" s="5" t="n">
        <v>0</v>
      </c>
      <c r="J33" s="5" t="n">
        <v>0</v>
      </c>
      <c r="K33" s="5" t="n">
        <v>0</v>
      </c>
      <c r="L33" s="5" t="n">
        <v>0</v>
      </c>
      <c r="M33" s="5" t="n">
        <v>0</v>
      </c>
      <c r="N33" s="5" t="n">
        <v>0</v>
      </c>
      <c r="O33" s="5" t="n">
        <v>1</v>
      </c>
      <c r="P33" s="5" t="n">
        <v>0</v>
      </c>
      <c r="Q33" s="5" t="n">
        <v>0</v>
      </c>
      <c r="R33" s="5" t="n">
        <v>0</v>
      </c>
      <c r="S33" s="5" t="n">
        <v>1</v>
      </c>
      <c r="T33" s="5" t="n">
        <v>0</v>
      </c>
      <c r="U33" s="5" t="n">
        <v>1</v>
      </c>
      <c r="V33" s="5" t="n">
        <v>1</v>
      </c>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s">
        <v>933</v>
      </c>
      <c r="D34" s="5" t="n">
        <v>0</v>
      </c>
      <c r="E34" s="5" t="n">
        <v>0</v>
      </c>
      <c r="F34" s="5" t="n">
        <v>0</v>
      </c>
      <c r="G34" s="5" t="n">
        <v>0</v>
      </c>
      <c r="H34" s="5" t="n">
        <v>0</v>
      </c>
      <c r="I34" s="5" t="n">
        <v>0</v>
      </c>
      <c r="J34" s="5" t="n">
        <v>0</v>
      </c>
      <c r="K34" s="5" t="n">
        <v>0</v>
      </c>
      <c r="L34" s="5" t="n">
        <v>0</v>
      </c>
      <c r="M34" s="5" t="n">
        <v>0</v>
      </c>
      <c r="N34" s="5" t="n">
        <v>0</v>
      </c>
      <c r="O34" s="5" t="n">
        <v>0</v>
      </c>
      <c r="P34" s="5" t="n">
        <v>0</v>
      </c>
      <c r="Q34" s="5" t="n">
        <v>0</v>
      </c>
      <c r="R34" s="5" t="n">
        <v>0</v>
      </c>
      <c r="S34" s="5" t="n">
        <v>0</v>
      </c>
      <c r="T34" s="5" t="n">
        <v>0</v>
      </c>
      <c r="U34" s="5" t="n">
        <v>0</v>
      </c>
      <c r="V34" s="5" t="n">
        <v>0</v>
      </c>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s">
        <v>936</v>
      </c>
      <c r="D35" s="5" t="n">
        <v>0</v>
      </c>
      <c r="E35" s="5" t="n">
        <v>0</v>
      </c>
      <c r="F35" s="5" t="n">
        <v>0</v>
      </c>
      <c r="G35" s="5" t="n">
        <v>0</v>
      </c>
      <c r="H35" s="5" t="n">
        <v>0</v>
      </c>
      <c r="I35" s="5" t="n">
        <v>0</v>
      </c>
      <c r="J35" s="5" t="n">
        <v>0</v>
      </c>
      <c r="K35" s="5" t="n">
        <v>0</v>
      </c>
      <c r="L35" s="5" t="n">
        <v>0</v>
      </c>
      <c r="M35" s="5" t="n">
        <v>0</v>
      </c>
      <c r="N35" s="5" t="n">
        <v>0</v>
      </c>
      <c r="O35" s="5" t="n">
        <v>1</v>
      </c>
      <c r="P35" s="5" t="n">
        <v>0</v>
      </c>
      <c r="Q35" s="5" t="n">
        <v>0</v>
      </c>
      <c r="R35" s="5" t="n">
        <v>0</v>
      </c>
      <c r="S35" s="5" t="n">
        <v>0</v>
      </c>
      <c r="T35" s="5" t="n">
        <v>0</v>
      </c>
      <c r="U35" s="5" t="n">
        <v>1</v>
      </c>
      <c r="V35" s="5" t="n">
        <v>1</v>
      </c>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23.85" hidden="false" customHeight="false" outlineLevel="0" collapsed="false">
      <c r="A36" s="5" t="n">
        <v>35</v>
      </c>
      <c r="B36" s="5" t="s">
        <v>132</v>
      </c>
      <c r="C36" s="5" t="s">
        <v>16</v>
      </c>
      <c r="D36" s="5" t="n">
        <v>1</v>
      </c>
      <c r="E36" s="5" t="n">
        <v>1</v>
      </c>
      <c r="F36" s="5" t="n">
        <v>1</v>
      </c>
      <c r="G36" s="5" t="n">
        <v>1</v>
      </c>
      <c r="H36" s="5" t="n">
        <v>0</v>
      </c>
      <c r="I36" s="5" t="n">
        <v>0</v>
      </c>
      <c r="J36" s="5" t="n">
        <v>0</v>
      </c>
      <c r="K36" s="5" t="n">
        <v>1</v>
      </c>
      <c r="L36" s="5" t="n">
        <v>0</v>
      </c>
      <c r="M36" s="5" t="n">
        <v>0</v>
      </c>
      <c r="N36" s="5" t="n">
        <v>0</v>
      </c>
      <c r="O36" s="5" t="n">
        <v>1</v>
      </c>
      <c r="P36" s="5" t="n">
        <v>0</v>
      </c>
      <c r="Q36" s="5" t="n">
        <v>0</v>
      </c>
      <c r="R36" s="5" t="n">
        <v>0</v>
      </c>
      <c r="S36" s="5" t="n">
        <v>0</v>
      </c>
      <c r="T36" s="5" t="n">
        <v>0</v>
      </c>
      <c r="U36" s="5" t="n">
        <v>1</v>
      </c>
      <c r="V36" s="5" t="n">
        <v>1</v>
      </c>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35.05" hidden="false" customHeight="false" outlineLevel="0" collapsed="false">
      <c r="A37" s="5" t="n">
        <v>36</v>
      </c>
      <c r="B37" s="5" t="s">
        <v>134</v>
      </c>
      <c r="C37" s="5" t="s">
        <v>941</v>
      </c>
      <c r="D37" s="5" t="n">
        <v>0</v>
      </c>
      <c r="E37" s="5" t="n">
        <v>0</v>
      </c>
      <c r="F37" s="5" t="n">
        <v>1</v>
      </c>
      <c r="G37" s="5" t="n">
        <v>1</v>
      </c>
      <c r="H37" s="5" t="n">
        <v>0</v>
      </c>
      <c r="I37" s="5" t="n">
        <v>0</v>
      </c>
      <c r="J37" s="5" t="n">
        <v>0</v>
      </c>
      <c r="K37" s="5" t="n">
        <v>0</v>
      </c>
      <c r="L37" s="5" t="n">
        <v>0</v>
      </c>
      <c r="M37" s="5" t="n">
        <v>0</v>
      </c>
      <c r="N37" s="5" t="n">
        <v>0</v>
      </c>
      <c r="O37" s="5" t="n">
        <v>0</v>
      </c>
      <c r="P37" s="5" t="n">
        <v>1</v>
      </c>
      <c r="Q37" s="5" t="n">
        <v>0</v>
      </c>
      <c r="R37" s="5" t="n">
        <v>0</v>
      </c>
      <c r="S37" s="5" t="n">
        <v>0</v>
      </c>
      <c r="T37" s="5" t="n">
        <v>0</v>
      </c>
      <c r="U37" s="5" t="n">
        <v>0</v>
      </c>
      <c r="V37" s="5" t="n">
        <v>0</v>
      </c>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s">
        <v>945</v>
      </c>
      <c r="D38" s="5" t="n">
        <v>0</v>
      </c>
      <c r="E38" s="5" t="n">
        <v>0</v>
      </c>
      <c r="F38" s="5" t="n">
        <v>1</v>
      </c>
      <c r="G38" s="5" t="n">
        <v>1</v>
      </c>
      <c r="H38" s="5" t="n">
        <v>0</v>
      </c>
      <c r="I38" s="5" t="n">
        <v>0</v>
      </c>
      <c r="J38" s="5" t="n">
        <v>0</v>
      </c>
      <c r="K38" s="5" t="n">
        <v>0</v>
      </c>
      <c r="L38" s="5" t="n">
        <v>0</v>
      </c>
      <c r="M38" s="5" t="n">
        <v>0</v>
      </c>
      <c r="N38" s="5" t="n">
        <v>0</v>
      </c>
      <c r="O38" s="5" t="n">
        <v>0</v>
      </c>
      <c r="P38" s="5" t="n">
        <v>1</v>
      </c>
      <c r="Q38" s="5" t="n">
        <v>0</v>
      </c>
      <c r="R38" s="5" t="n">
        <v>0</v>
      </c>
      <c r="S38" s="5" t="n">
        <v>0</v>
      </c>
      <c r="T38" s="5" t="n">
        <v>0</v>
      </c>
      <c r="U38" s="5" t="n">
        <v>0</v>
      </c>
      <c r="V38" s="5" t="n">
        <v>0</v>
      </c>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s">
        <v>933</v>
      </c>
      <c r="D39" s="5" t="n">
        <v>0</v>
      </c>
      <c r="E39" s="5" t="n">
        <v>0</v>
      </c>
      <c r="F39" s="5" t="n">
        <v>0</v>
      </c>
      <c r="G39" s="5" t="n">
        <v>0</v>
      </c>
      <c r="H39" s="5" t="n">
        <v>0</v>
      </c>
      <c r="I39" s="5" t="n">
        <v>0</v>
      </c>
      <c r="J39" s="5" t="n">
        <v>0</v>
      </c>
      <c r="K39" s="5" t="n">
        <v>0</v>
      </c>
      <c r="L39" s="5" t="n">
        <v>0</v>
      </c>
      <c r="M39" s="5" t="n">
        <v>0</v>
      </c>
      <c r="N39" s="5" t="n">
        <v>0</v>
      </c>
      <c r="O39" s="5" t="n">
        <v>0</v>
      </c>
      <c r="P39" s="5" t="n">
        <v>0</v>
      </c>
      <c r="Q39" s="5" t="n">
        <v>0</v>
      </c>
      <c r="R39" s="5" t="n">
        <v>0</v>
      </c>
      <c r="S39" s="5" t="n">
        <v>0</v>
      </c>
      <c r="T39" s="5" t="n">
        <v>0</v>
      </c>
      <c r="U39" s="5" t="n">
        <v>0</v>
      </c>
      <c r="V39" s="5" t="n">
        <v>0</v>
      </c>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s">
        <v>950</v>
      </c>
      <c r="D40" s="5" t="n">
        <v>1</v>
      </c>
      <c r="E40" s="5" t="n">
        <v>0</v>
      </c>
      <c r="F40" s="5" t="n">
        <v>0</v>
      </c>
      <c r="G40" s="5" t="n">
        <v>0</v>
      </c>
      <c r="H40" s="5" t="n">
        <v>0</v>
      </c>
      <c r="I40" s="5" t="n">
        <v>0</v>
      </c>
      <c r="J40" s="5" t="n">
        <v>0</v>
      </c>
      <c r="K40" s="5" t="n">
        <v>0</v>
      </c>
      <c r="L40" s="5" t="n">
        <v>0</v>
      </c>
      <c r="M40" s="5" t="n">
        <v>1</v>
      </c>
      <c r="N40" s="5" t="n">
        <v>1</v>
      </c>
      <c r="O40" s="5" t="n">
        <v>0</v>
      </c>
      <c r="P40" s="5" t="n">
        <v>0</v>
      </c>
      <c r="Q40" s="5" t="n">
        <v>0</v>
      </c>
      <c r="R40" s="5" t="n">
        <v>0</v>
      </c>
      <c r="S40" s="5" t="n">
        <v>1</v>
      </c>
      <c r="T40" s="5" t="n">
        <v>0</v>
      </c>
      <c r="U40" s="5" t="n">
        <v>0</v>
      </c>
      <c r="V40" s="5" t="n">
        <v>0</v>
      </c>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35.05" hidden="false" customHeight="false" outlineLevel="0" collapsed="false">
      <c r="A41" s="5" t="n">
        <v>40</v>
      </c>
      <c r="B41" s="5" t="s">
        <v>952</v>
      </c>
      <c r="C41" s="5" t="s">
        <v>953</v>
      </c>
      <c r="D41" s="5" t="n">
        <v>0</v>
      </c>
      <c r="E41" s="5" t="n">
        <v>1</v>
      </c>
      <c r="F41" s="5" t="n">
        <v>0</v>
      </c>
      <c r="G41" s="5" t="n">
        <v>0</v>
      </c>
      <c r="H41" s="5" t="n">
        <v>0</v>
      </c>
      <c r="I41" s="5" t="n">
        <v>0</v>
      </c>
      <c r="J41" s="5" t="n">
        <v>0</v>
      </c>
      <c r="K41" s="5" t="n">
        <v>0</v>
      </c>
      <c r="L41" s="5" t="n">
        <v>0</v>
      </c>
      <c r="M41" s="5" t="n">
        <v>1</v>
      </c>
      <c r="N41" s="5" t="n">
        <v>0</v>
      </c>
      <c r="O41" s="5" t="n">
        <v>0</v>
      </c>
      <c r="P41" s="5" t="n">
        <v>0</v>
      </c>
      <c r="Q41" s="5" t="n">
        <v>0</v>
      </c>
      <c r="R41" s="5" t="n">
        <v>0</v>
      </c>
      <c r="S41" s="5" t="n">
        <v>1</v>
      </c>
      <c r="T41" s="5" t="n">
        <v>0</v>
      </c>
      <c r="U41" s="5" t="n">
        <v>0</v>
      </c>
      <c r="V41" s="5" t="n">
        <v>0</v>
      </c>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s">
        <v>957</v>
      </c>
      <c r="D42" s="5" t="n">
        <v>1</v>
      </c>
      <c r="E42" s="5" t="n">
        <v>1</v>
      </c>
      <c r="F42" s="5" t="n">
        <v>1</v>
      </c>
      <c r="G42" s="5" t="n">
        <v>1</v>
      </c>
      <c r="H42" s="5" t="n">
        <v>0</v>
      </c>
      <c r="I42" s="5" t="n">
        <v>0</v>
      </c>
      <c r="J42" s="5" t="n">
        <v>0</v>
      </c>
      <c r="K42" s="5" t="n">
        <v>0</v>
      </c>
      <c r="L42" s="5" t="n">
        <v>0</v>
      </c>
      <c r="M42" s="5" t="n">
        <v>0</v>
      </c>
      <c r="N42" s="5" t="n">
        <v>0</v>
      </c>
      <c r="O42" s="5" t="n">
        <v>1</v>
      </c>
      <c r="P42" s="5" t="n">
        <v>0</v>
      </c>
      <c r="Q42" s="5" t="n">
        <v>0</v>
      </c>
      <c r="R42" s="5" t="n">
        <v>0</v>
      </c>
      <c r="S42" s="5" t="n">
        <v>1</v>
      </c>
      <c r="T42" s="5" t="n">
        <v>0</v>
      </c>
      <c r="U42" s="5" t="n">
        <v>1</v>
      </c>
      <c r="V42" s="5" t="n">
        <v>1</v>
      </c>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s">
        <v>960</v>
      </c>
      <c r="D43" s="5" t="n">
        <v>0</v>
      </c>
      <c r="E43" s="5" t="n">
        <v>0</v>
      </c>
      <c r="F43" s="5" t="n">
        <v>0</v>
      </c>
      <c r="G43" s="5" t="n">
        <v>0</v>
      </c>
      <c r="H43" s="5" t="n">
        <v>0</v>
      </c>
      <c r="I43" s="5" t="n">
        <v>0</v>
      </c>
      <c r="J43" s="5" t="n">
        <v>0</v>
      </c>
      <c r="K43" s="5" t="n">
        <v>0</v>
      </c>
      <c r="L43" s="5" t="n">
        <v>1</v>
      </c>
      <c r="M43" s="5" t="n">
        <v>0</v>
      </c>
      <c r="N43" s="5" t="n">
        <v>0</v>
      </c>
      <c r="O43" s="5" t="n">
        <v>1</v>
      </c>
      <c r="P43" s="5" t="n">
        <v>1</v>
      </c>
      <c r="Q43" s="5" t="n">
        <v>0</v>
      </c>
      <c r="R43" s="5" t="n">
        <v>0</v>
      </c>
      <c r="S43" s="5" t="n">
        <v>0</v>
      </c>
      <c r="T43" s="5" t="n">
        <v>0</v>
      </c>
      <c r="U43" s="5" t="n">
        <v>1</v>
      </c>
      <c r="V43" s="5" t="n">
        <v>1</v>
      </c>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s">
        <v>963</v>
      </c>
      <c r="D44" s="5" t="n">
        <v>1</v>
      </c>
      <c r="E44" s="5" t="n">
        <v>1</v>
      </c>
      <c r="F44" s="5" t="n">
        <v>1</v>
      </c>
      <c r="G44" s="5" t="n">
        <v>1</v>
      </c>
      <c r="H44" s="5" t="n">
        <v>0</v>
      </c>
      <c r="I44" s="5" t="n">
        <v>0</v>
      </c>
      <c r="J44" s="5" t="n">
        <v>1</v>
      </c>
      <c r="K44" s="5" t="n">
        <v>0</v>
      </c>
      <c r="L44" s="5" t="n">
        <v>0</v>
      </c>
      <c r="M44" s="5" t="n">
        <v>0</v>
      </c>
      <c r="N44" s="5" t="n">
        <v>0</v>
      </c>
      <c r="O44" s="5" t="n">
        <v>1</v>
      </c>
      <c r="P44" s="5" t="n">
        <v>0</v>
      </c>
      <c r="Q44" s="5" t="n">
        <v>0</v>
      </c>
      <c r="R44" s="5" t="n">
        <v>0</v>
      </c>
      <c r="S44" s="5" t="n">
        <v>1</v>
      </c>
      <c r="T44" s="5" t="n">
        <v>0</v>
      </c>
      <c r="U44" s="5" t="n">
        <v>1</v>
      </c>
      <c r="V44" s="5" t="n">
        <v>1</v>
      </c>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s">
        <v>966</v>
      </c>
      <c r="D45" s="5" t="n">
        <v>1</v>
      </c>
      <c r="E45" s="5" t="n">
        <v>1</v>
      </c>
      <c r="F45" s="5" t="n">
        <v>1</v>
      </c>
      <c r="G45" s="5" t="n">
        <v>1</v>
      </c>
      <c r="H45" s="5" t="n">
        <v>0</v>
      </c>
      <c r="I45" s="5" t="n">
        <v>0</v>
      </c>
      <c r="J45" s="5" t="n">
        <v>0</v>
      </c>
      <c r="K45" s="5" t="n">
        <v>1</v>
      </c>
      <c r="L45" s="5" t="n">
        <v>0</v>
      </c>
      <c r="M45" s="5" t="n">
        <v>0</v>
      </c>
      <c r="N45" s="5" t="n">
        <v>0</v>
      </c>
      <c r="O45" s="5" t="n">
        <v>1</v>
      </c>
      <c r="P45" s="5" t="n">
        <v>0</v>
      </c>
      <c r="Q45" s="5" t="n">
        <v>0</v>
      </c>
      <c r="R45" s="5" t="n">
        <v>0</v>
      </c>
      <c r="S45" s="5" t="n">
        <v>0</v>
      </c>
      <c r="T45" s="5" t="n">
        <v>0</v>
      </c>
      <c r="U45" s="5" t="n">
        <v>1</v>
      </c>
      <c r="V45" s="5" t="n">
        <v>1</v>
      </c>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35.05" hidden="false" customHeight="false" outlineLevel="0" collapsed="false">
      <c r="A46" s="5" t="n">
        <v>45</v>
      </c>
      <c r="B46" s="5" t="s">
        <v>968</v>
      </c>
      <c r="C46" s="5" t="s">
        <v>14</v>
      </c>
      <c r="D46" s="5" t="n">
        <v>1</v>
      </c>
      <c r="E46" s="5" t="n">
        <v>1</v>
      </c>
      <c r="F46" s="5" t="n">
        <v>1</v>
      </c>
      <c r="G46" s="5" t="n">
        <v>1</v>
      </c>
      <c r="H46" s="5" t="n">
        <v>0</v>
      </c>
      <c r="I46" s="5" t="n">
        <v>0</v>
      </c>
      <c r="J46" s="5" t="n">
        <v>1</v>
      </c>
      <c r="K46" s="5" t="n">
        <v>1</v>
      </c>
      <c r="L46" s="5" t="n">
        <v>0</v>
      </c>
      <c r="M46" s="5" t="n">
        <v>0</v>
      </c>
      <c r="N46" s="5" t="n">
        <v>0</v>
      </c>
      <c r="O46" s="5" t="n">
        <v>1</v>
      </c>
      <c r="P46" s="5" t="n">
        <v>0</v>
      </c>
      <c r="Q46" s="5" t="n">
        <v>0</v>
      </c>
      <c r="R46" s="5" t="n">
        <v>0</v>
      </c>
      <c r="S46" s="5" t="n">
        <v>0</v>
      </c>
      <c r="T46" s="5" t="n">
        <v>0</v>
      </c>
      <c r="U46" s="5" t="n">
        <v>1</v>
      </c>
      <c r="V46" s="5" t="n">
        <v>1</v>
      </c>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s">
        <v>971</v>
      </c>
      <c r="D47" s="5" t="n">
        <v>0</v>
      </c>
      <c r="E47" s="5" t="n">
        <v>0</v>
      </c>
      <c r="F47" s="5" t="n">
        <v>1</v>
      </c>
      <c r="G47" s="5" t="n">
        <v>1</v>
      </c>
      <c r="H47" s="5" t="n">
        <v>0</v>
      </c>
      <c r="I47" s="5" t="n">
        <v>0</v>
      </c>
      <c r="J47" s="5" t="n">
        <v>0</v>
      </c>
      <c r="K47" s="5" t="n">
        <v>0</v>
      </c>
      <c r="L47" s="5" t="n">
        <v>0</v>
      </c>
      <c r="M47" s="5" t="n">
        <v>1</v>
      </c>
      <c r="N47" s="5" t="n">
        <v>0</v>
      </c>
      <c r="O47" s="5" t="n">
        <v>0</v>
      </c>
      <c r="P47" s="5" t="n">
        <v>0</v>
      </c>
      <c r="Q47" s="5" t="n">
        <v>0</v>
      </c>
      <c r="R47" s="5" t="n">
        <v>1</v>
      </c>
      <c r="S47" s="5" t="n">
        <v>0</v>
      </c>
      <c r="T47" s="5" t="n">
        <v>0</v>
      </c>
      <c r="U47" s="5" t="n">
        <v>0</v>
      </c>
      <c r="V47" s="5" t="n">
        <v>0</v>
      </c>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35.05" hidden="false" customHeight="false" outlineLevel="0" collapsed="false">
      <c r="A48" s="5" t="n">
        <v>47</v>
      </c>
      <c r="B48" s="5" t="s">
        <v>973</v>
      </c>
      <c r="C48" s="5" t="s">
        <v>974</v>
      </c>
      <c r="D48" s="5" t="n">
        <v>0</v>
      </c>
      <c r="E48" s="5" t="n">
        <v>0</v>
      </c>
      <c r="F48" s="5" t="n">
        <v>0</v>
      </c>
      <c r="G48" s="5" t="n">
        <v>0</v>
      </c>
      <c r="H48" s="5" t="n">
        <v>0</v>
      </c>
      <c r="I48" s="5" t="n">
        <v>0</v>
      </c>
      <c r="J48" s="5" t="n">
        <v>1</v>
      </c>
      <c r="K48" s="5" t="n">
        <v>0</v>
      </c>
      <c r="L48" s="5" t="n">
        <v>0</v>
      </c>
      <c r="M48" s="5" t="n">
        <v>0</v>
      </c>
      <c r="N48" s="5" t="n">
        <v>0</v>
      </c>
      <c r="O48" s="5" t="n">
        <v>1</v>
      </c>
      <c r="P48" s="5" t="n">
        <v>0</v>
      </c>
      <c r="Q48" s="5" t="n">
        <v>0</v>
      </c>
      <c r="R48" s="5" t="n">
        <v>0</v>
      </c>
      <c r="S48" s="5" t="n">
        <v>0</v>
      </c>
      <c r="T48" s="5" t="n">
        <v>0</v>
      </c>
      <c r="U48" s="5" t="n">
        <v>1</v>
      </c>
      <c r="V48" s="5" t="n">
        <v>1</v>
      </c>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s">
        <v>977</v>
      </c>
      <c r="D49" s="5" t="n">
        <v>0</v>
      </c>
      <c r="E49" s="5" t="n">
        <v>1</v>
      </c>
      <c r="F49" s="5" t="n">
        <v>0</v>
      </c>
      <c r="G49" s="5" t="n">
        <v>0</v>
      </c>
      <c r="H49" s="5" t="n">
        <v>0</v>
      </c>
      <c r="I49" s="5" t="n">
        <v>0</v>
      </c>
      <c r="J49" s="5" t="n">
        <v>1</v>
      </c>
      <c r="K49" s="5" t="n">
        <v>0</v>
      </c>
      <c r="L49" s="5" t="n">
        <v>0</v>
      </c>
      <c r="M49" s="5" t="n">
        <v>0</v>
      </c>
      <c r="N49" s="5" t="n">
        <v>0</v>
      </c>
      <c r="O49" s="5" t="n">
        <v>0</v>
      </c>
      <c r="P49" s="5" t="n">
        <v>0</v>
      </c>
      <c r="Q49" s="5" t="n">
        <v>0</v>
      </c>
      <c r="R49" s="5" t="n">
        <v>0</v>
      </c>
      <c r="S49" s="5" t="n">
        <v>0</v>
      </c>
      <c r="T49" s="5" t="n">
        <v>0</v>
      </c>
      <c r="U49" s="5" t="n">
        <v>0</v>
      </c>
      <c r="V49" s="5" t="n">
        <v>0</v>
      </c>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s">
        <v>980</v>
      </c>
      <c r="D50" s="5" t="n">
        <v>0</v>
      </c>
      <c r="E50" s="5" t="n">
        <v>1</v>
      </c>
      <c r="F50" s="5" t="n">
        <v>0</v>
      </c>
      <c r="G50" s="5" t="n">
        <v>0</v>
      </c>
      <c r="H50" s="5" t="n">
        <v>0</v>
      </c>
      <c r="I50" s="5" t="n">
        <v>0</v>
      </c>
      <c r="J50" s="5" t="n">
        <v>0</v>
      </c>
      <c r="K50" s="5" t="n">
        <v>0</v>
      </c>
      <c r="L50" s="5" t="n">
        <v>0</v>
      </c>
      <c r="M50" s="5" t="n">
        <v>0</v>
      </c>
      <c r="N50" s="5" t="n">
        <v>0</v>
      </c>
      <c r="O50" s="5" t="n">
        <v>0</v>
      </c>
      <c r="P50" s="5" t="n">
        <v>0</v>
      </c>
      <c r="Q50" s="5" t="n">
        <v>1</v>
      </c>
      <c r="R50" s="5" t="n">
        <v>0</v>
      </c>
      <c r="S50" s="5" t="n">
        <v>1</v>
      </c>
      <c r="T50" s="5" t="n">
        <v>0</v>
      </c>
      <c r="U50" s="5" t="n">
        <v>0</v>
      </c>
      <c r="V50" s="5" t="n">
        <v>0</v>
      </c>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35.05" hidden="false" customHeight="false" outlineLevel="0" collapsed="false">
      <c r="A51" s="5" t="n">
        <v>50</v>
      </c>
      <c r="B51" s="5" t="s">
        <v>981</v>
      </c>
      <c r="C51" s="5" t="s">
        <v>982</v>
      </c>
      <c r="D51" s="5" t="n">
        <v>0</v>
      </c>
      <c r="E51" s="5" t="n">
        <v>1</v>
      </c>
      <c r="F51" s="5" t="n">
        <v>1</v>
      </c>
      <c r="G51" s="5" t="n">
        <v>1</v>
      </c>
      <c r="H51" s="5" t="n">
        <v>0</v>
      </c>
      <c r="I51" s="5" t="n">
        <v>0</v>
      </c>
      <c r="J51" s="5" t="n">
        <v>0</v>
      </c>
      <c r="K51" s="5" t="n">
        <v>0</v>
      </c>
      <c r="L51" s="5" t="n">
        <v>0</v>
      </c>
      <c r="M51" s="5" t="n">
        <v>0</v>
      </c>
      <c r="N51" s="5" t="n">
        <v>0</v>
      </c>
      <c r="O51" s="5" t="n">
        <v>0</v>
      </c>
      <c r="P51" s="5" t="n">
        <v>1</v>
      </c>
      <c r="Q51" s="5" t="n">
        <v>0</v>
      </c>
      <c r="R51" s="5" t="n">
        <v>0</v>
      </c>
      <c r="S51" s="5" t="n">
        <v>0</v>
      </c>
      <c r="T51" s="5" t="n">
        <v>0</v>
      </c>
      <c r="U51" s="5" t="n">
        <v>0</v>
      </c>
      <c r="V51" s="5" t="n">
        <v>0</v>
      </c>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35.05" hidden="false" customHeight="false" outlineLevel="0" collapsed="false">
      <c r="A52" s="5" t="n">
        <v>51</v>
      </c>
      <c r="B52" s="5" t="s">
        <v>983</v>
      </c>
      <c r="C52" s="5" t="s">
        <v>984</v>
      </c>
      <c r="D52" s="5" t="n">
        <v>0</v>
      </c>
      <c r="E52" s="5" t="n">
        <v>0</v>
      </c>
      <c r="F52" s="5" t="n">
        <v>0</v>
      </c>
      <c r="G52" s="5" t="n">
        <v>0</v>
      </c>
      <c r="H52" s="5" t="n">
        <v>0</v>
      </c>
      <c r="I52" s="5" t="n">
        <v>0</v>
      </c>
      <c r="J52" s="5" t="n">
        <v>0</v>
      </c>
      <c r="K52" s="5" t="n">
        <v>0</v>
      </c>
      <c r="L52" s="5" t="n">
        <v>0</v>
      </c>
      <c r="M52" s="5" t="n">
        <v>1</v>
      </c>
      <c r="N52" s="5" t="n">
        <v>0</v>
      </c>
      <c r="O52" s="5" t="n">
        <v>1</v>
      </c>
      <c r="P52" s="5" t="n">
        <v>0</v>
      </c>
      <c r="Q52" s="5" t="n">
        <v>0</v>
      </c>
      <c r="R52" s="5" t="n">
        <v>0</v>
      </c>
      <c r="S52" s="5" t="n">
        <v>1</v>
      </c>
      <c r="T52" s="5" t="n">
        <v>0</v>
      </c>
      <c r="U52" s="5" t="n">
        <v>1</v>
      </c>
      <c r="V52" s="5" t="n">
        <v>1</v>
      </c>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35.05" hidden="false" customHeight="false" outlineLevel="0" collapsed="false">
      <c r="A53" s="5" t="n">
        <v>52</v>
      </c>
      <c r="B53" s="5" t="s">
        <v>986</v>
      </c>
      <c r="C53" s="5" t="s">
        <v>987</v>
      </c>
      <c r="D53" s="5" t="n">
        <v>0</v>
      </c>
      <c r="E53" s="5" t="n">
        <v>1</v>
      </c>
      <c r="F53" s="5" t="n">
        <v>1</v>
      </c>
      <c r="G53" s="5" t="n">
        <v>1</v>
      </c>
      <c r="H53" s="5" t="n">
        <v>0</v>
      </c>
      <c r="I53" s="5" t="n">
        <v>0</v>
      </c>
      <c r="J53" s="5" t="n">
        <v>0</v>
      </c>
      <c r="K53" s="5" t="n">
        <v>0</v>
      </c>
      <c r="L53" s="5" t="n">
        <v>0</v>
      </c>
      <c r="M53" s="5" t="n">
        <v>0</v>
      </c>
      <c r="N53" s="5" t="n">
        <v>0</v>
      </c>
      <c r="O53" s="5" t="n">
        <v>0</v>
      </c>
      <c r="P53" s="5" t="n">
        <v>0</v>
      </c>
      <c r="Q53" s="5" t="n">
        <v>1</v>
      </c>
      <c r="R53" s="5" t="n">
        <v>0</v>
      </c>
      <c r="S53" s="5" t="n">
        <v>0</v>
      </c>
      <c r="T53" s="5" t="n">
        <v>0</v>
      </c>
      <c r="U53" s="5" t="n">
        <v>0</v>
      </c>
      <c r="V53" s="5" t="n">
        <v>0</v>
      </c>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s">
        <v>991</v>
      </c>
      <c r="D54" s="5" t="n">
        <v>0</v>
      </c>
      <c r="E54" s="5" t="n">
        <v>0</v>
      </c>
      <c r="F54" s="5" t="n">
        <v>1</v>
      </c>
      <c r="G54" s="5" t="n">
        <v>1</v>
      </c>
      <c r="H54" s="5" t="n">
        <v>1</v>
      </c>
      <c r="I54" s="5" t="n">
        <v>1</v>
      </c>
      <c r="J54" s="5" t="n">
        <v>0</v>
      </c>
      <c r="K54" s="5" t="n">
        <v>0</v>
      </c>
      <c r="L54" s="5" t="n">
        <v>0</v>
      </c>
      <c r="M54" s="5" t="n">
        <v>0</v>
      </c>
      <c r="N54" s="5" t="n">
        <v>1</v>
      </c>
      <c r="O54" s="5" t="n">
        <v>0</v>
      </c>
      <c r="P54" s="5" t="n">
        <v>0</v>
      </c>
      <c r="Q54" s="5" t="n">
        <v>0</v>
      </c>
      <c r="R54" s="5" t="n">
        <v>0</v>
      </c>
      <c r="S54" s="5" t="n">
        <v>1</v>
      </c>
      <c r="T54" s="5" t="n">
        <v>0</v>
      </c>
      <c r="U54" s="5" t="n">
        <v>0</v>
      </c>
      <c r="V54" s="5" t="n">
        <v>0</v>
      </c>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35.05" hidden="false" customHeight="false" outlineLevel="0" collapsed="false">
      <c r="A55" s="5" t="n">
        <v>54</v>
      </c>
      <c r="B55" s="5" t="s">
        <v>993</v>
      </c>
      <c r="C55" s="5" t="s">
        <v>994</v>
      </c>
      <c r="D55" s="5" t="n">
        <v>1</v>
      </c>
      <c r="E55" s="5" t="n">
        <v>1</v>
      </c>
      <c r="F55" s="5" t="n">
        <v>1</v>
      </c>
      <c r="G55" s="5" t="n">
        <v>1</v>
      </c>
      <c r="H55" s="5" t="n">
        <v>0</v>
      </c>
      <c r="I55" s="5" t="n">
        <v>0</v>
      </c>
      <c r="J55" s="5" t="n">
        <v>1</v>
      </c>
      <c r="K55" s="5" t="n">
        <v>0</v>
      </c>
      <c r="L55" s="5" t="n">
        <v>0</v>
      </c>
      <c r="M55" s="5" t="n">
        <v>0</v>
      </c>
      <c r="N55" s="5" t="n">
        <v>0</v>
      </c>
      <c r="O55" s="5" t="n">
        <v>0</v>
      </c>
      <c r="P55" s="5" t="n">
        <v>0</v>
      </c>
      <c r="Q55" s="5" t="n">
        <v>0</v>
      </c>
      <c r="R55" s="5" t="n">
        <v>0</v>
      </c>
      <c r="S55" s="5" t="n">
        <v>1</v>
      </c>
      <c r="T55" s="5" t="n">
        <v>0</v>
      </c>
      <c r="U55" s="5" t="n">
        <v>0</v>
      </c>
      <c r="V55" s="5" t="n">
        <v>0</v>
      </c>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35.05" hidden="false" customHeight="false" outlineLevel="0" collapsed="false">
      <c r="A56" s="5" t="n">
        <v>55</v>
      </c>
      <c r="B56" s="5" t="s">
        <v>996</v>
      </c>
      <c r="C56" s="5" t="s">
        <v>997</v>
      </c>
      <c r="D56" s="5" t="n">
        <v>0</v>
      </c>
      <c r="E56" s="5" t="n">
        <v>0</v>
      </c>
      <c r="F56" s="5" t="n">
        <v>1</v>
      </c>
      <c r="G56" s="5" t="n">
        <v>1</v>
      </c>
      <c r="H56" s="5" t="n">
        <v>0</v>
      </c>
      <c r="I56" s="5" t="n">
        <v>0</v>
      </c>
      <c r="J56" s="5" t="n">
        <v>0</v>
      </c>
      <c r="K56" s="5" t="n">
        <v>0</v>
      </c>
      <c r="L56" s="5" t="n">
        <v>0</v>
      </c>
      <c r="M56" s="5" t="n">
        <v>0</v>
      </c>
      <c r="N56" s="5" t="n">
        <v>1</v>
      </c>
      <c r="O56" s="5" t="n">
        <v>0</v>
      </c>
      <c r="P56" s="5" t="n">
        <v>0</v>
      </c>
      <c r="Q56" s="5" t="n">
        <v>0</v>
      </c>
      <c r="R56" s="5" t="n">
        <v>0</v>
      </c>
      <c r="S56" s="5" t="n">
        <v>0</v>
      </c>
      <c r="T56" s="5" t="n">
        <v>0</v>
      </c>
      <c r="U56" s="5" t="n">
        <v>0</v>
      </c>
      <c r="V56" s="5" t="n">
        <v>0</v>
      </c>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23.85" hidden="false" customHeight="false" outlineLevel="0" collapsed="false">
      <c r="A57" s="5" t="n">
        <v>56</v>
      </c>
      <c r="B57" s="5" t="s">
        <v>175</v>
      </c>
      <c r="C57" s="5" t="s">
        <v>998</v>
      </c>
      <c r="D57" s="5" t="n">
        <v>1</v>
      </c>
      <c r="E57" s="5" t="n">
        <v>0</v>
      </c>
      <c r="F57" s="5" t="n">
        <v>1</v>
      </c>
      <c r="G57" s="5" t="n">
        <v>1</v>
      </c>
      <c r="H57" s="5" t="n">
        <v>0</v>
      </c>
      <c r="I57" s="5" t="n">
        <v>0</v>
      </c>
      <c r="J57" s="5" t="n">
        <v>0</v>
      </c>
      <c r="K57" s="5" t="n">
        <v>0</v>
      </c>
      <c r="L57" s="5" t="n">
        <v>0</v>
      </c>
      <c r="M57" s="5" t="n">
        <v>0</v>
      </c>
      <c r="N57" s="5" t="n">
        <v>1</v>
      </c>
      <c r="O57" s="5" t="n">
        <v>1</v>
      </c>
      <c r="P57" s="5" t="n">
        <v>0</v>
      </c>
      <c r="Q57" s="5" t="n">
        <v>0</v>
      </c>
      <c r="R57" s="5" t="n">
        <v>0</v>
      </c>
      <c r="S57" s="5" t="n">
        <v>1</v>
      </c>
      <c r="T57" s="5" t="n">
        <v>0</v>
      </c>
      <c r="U57" s="5" t="n">
        <v>1</v>
      </c>
      <c r="V57" s="5" t="n">
        <v>1</v>
      </c>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s">
        <v>836</v>
      </c>
      <c r="D58" s="5" t="n">
        <v>1</v>
      </c>
      <c r="E58" s="5" t="n">
        <v>1</v>
      </c>
      <c r="F58" s="5" t="n">
        <v>1</v>
      </c>
      <c r="G58" s="5" t="n">
        <v>1</v>
      </c>
      <c r="H58" s="5" t="n">
        <v>0</v>
      </c>
      <c r="I58" s="5" t="n">
        <v>0</v>
      </c>
      <c r="J58" s="5" t="n">
        <v>1</v>
      </c>
      <c r="K58" s="5" t="n">
        <v>0</v>
      </c>
      <c r="L58" s="5" t="n">
        <v>0</v>
      </c>
      <c r="M58" s="5" t="n">
        <v>0</v>
      </c>
      <c r="N58" s="5" t="n">
        <v>0</v>
      </c>
      <c r="O58" s="5" t="n">
        <v>0</v>
      </c>
      <c r="P58" s="5" t="n">
        <v>0</v>
      </c>
      <c r="Q58" s="5" t="n">
        <v>0</v>
      </c>
      <c r="R58" s="5" t="n">
        <v>0</v>
      </c>
      <c r="S58" s="5" t="n">
        <v>1</v>
      </c>
      <c r="T58" s="5" t="n">
        <v>0</v>
      </c>
      <c r="U58" s="5" t="n">
        <v>0</v>
      </c>
      <c r="V58" s="5" t="n">
        <v>0</v>
      </c>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s">
        <v>1003</v>
      </c>
      <c r="D59" s="5" t="n">
        <v>1</v>
      </c>
      <c r="E59" s="5" t="n">
        <v>0</v>
      </c>
      <c r="F59" s="5" t="n">
        <v>0</v>
      </c>
      <c r="G59" s="5" t="n">
        <v>0</v>
      </c>
      <c r="H59" s="5" t="n">
        <v>0</v>
      </c>
      <c r="I59" s="5" t="n">
        <v>0</v>
      </c>
      <c r="J59" s="5" t="n">
        <v>0</v>
      </c>
      <c r="K59" s="5" t="n">
        <v>0</v>
      </c>
      <c r="L59" s="5" t="n">
        <v>0</v>
      </c>
      <c r="M59" s="5" t="n">
        <v>0</v>
      </c>
      <c r="N59" s="5" t="n">
        <v>0</v>
      </c>
      <c r="O59" s="5" t="n">
        <v>1</v>
      </c>
      <c r="P59" s="5" t="n">
        <v>0</v>
      </c>
      <c r="Q59" s="5" t="n">
        <v>0</v>
      </c>
      <c r="R59" s="5" t="n">
        <v>0</v>
      </c>
      <c r="S59" s="5" t="n">
        <v>0</v>
      </c>
      <c r="T59" s="5" t="n">
        <v>0</v>
      </c>
      <c r="U59" s="5" t="n">
        <v>1</v>
      </c>
      <c r="V59" s="5" t="n">
        <v>1</v>
      </c>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s">
        <v>1007</v>
      </c>
      <c r="D60" s="1" t="n">
        <v>1</v>
      </c>
      <c r="E60" s="1" t="n">
        <v>1</v>
      </c>
      <c r="F60" s="1" t="n">
        <v>0</v>
      </c>
      <c r="G60" s="1" t="n">
        <v>0</v>
      </c>
      <c r="H60" s="1" t="n">
        <v>1</v>
      </c>
      <c r="I60" s="1" t="n">
        <v>1</v>
      </c>
      <c r="J60" s="1" t="n">
        <v>0</v>
      </c>
      <c r="K60" s="1" t="n">
        <v>0</v>
      </c>
      <c r="L60" s="1" t="n">
        <v>1</v>
      </c>
      <c r="M60" s="1" t="n">
        <v>1</v>
      </c>
      <c r="N60" s="1" t="n">
        <v>0</v>
      </c>
      <c r="O60" s="1" t="n">
        <v>1</v>
      </c>
      <c r="P60" s="1" t="n">
        <v>0</v>
      </c>
      <c r="Q60" s="1" t="n">
        <v>0</v>
      </c>
      <c r="R60" s="1" t="n">
        <v>0</v>
      </c>
      <c r="S60" s="1" t="n">
        <v>0</v>
      </c>
      <c r="T60" s="1" t="n">
        <v>0</v>
      </c>
      <c r="U60" s="1" t="n">
        <v>1</v>
      </c>
      <c r="V60" s="1" t="n">
        <v>1</v>
      </c>
    </row>
  </sheetData>
  <conditionalFormatting sqref="C2:AZ59">
    <cfRule type="expression" priority="2" aboveAverage="0" equalAverage="0" bottom="0" percent="0" rank="0" text="" dxfId="11">
      <formula>C2=1</formula>
    </cfRule>
    <cfRule type="expression" priority="3" aboveAverage="0" equalAverage="0" bottom="0" percent="0" rank="0" text="" dxfId="12">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15" min="3" style="1" width="18"/>
    <col collapsed="false" customWidth="true" hidden="false" outlineLevel="0" max="16" min="16" style="1" width="22"/>
    <col collapsed="false" customWidth="true" hidden="false" outlineLevel="0" max="26" min="17" style="1" width="18"/>
  </cols>
  <sheetData>
    <row r="1" customFormat="false" ht="34" hidden="false" customHeight="true" outlineLevel="0" collapsed="false">
      <c r="A1" s="6" t="s">
        <v>805</v>
      </c>
      <c r="B1" s="5" t="s">
        <v>1012</v>
      </c>
      <c r="C1" s="5" t="s">
        <v>20</v>
      </c>
      <c r="D1" s="5" t="s">
        <v>19</v>
      </c>
      <c r="E1" s="5" t="s">
        <v>1029</v>
      </c>
      <c r="F1" s="5" t="s">
        <v>1030</v>
      </c>
      <c r="G1" s="5" t="s">
        <v>1031</v>
      </c>
      <c r="H1" s="5" t="s">
        <v>1032</v>
      </c>
      <c r="I1" s="5" t="s">
        <v>1033</v>
      </c>
      <c r="J1" s="5" t="s">
        <v>1034</v>
      </c>
      <c r="K1" s="5" t="s">
        <v>21</v>
      </c>
      <c r="L1" s="5" t="s">
        <v>1035</v>
      </c>
      <c r="M1" s="5" t="s">
        <v>1036</v>
      </c>
      <c r="N1" s="5" t="s">
        <v>1037</v>
      </c>
      <c r="O1" s="5" t="s">
        <v>1038</v>
      </c>
      <c r="P1" s="12" t="s">
        <v>1039</v>
      </c>
      <c r="Q1" s="5"/>
      <c r="R1" s="5"/>
      <c r="S1" s="5"/>
      <c r="T1" s="5"/>
      <c r="U1" s="5"/>
      <c r="V1" s="5"/>
      <c r="W1" s="5"/>
      <c r="X1" s="5"/>
      <c r="Y1" s="5"/>
      <c r="Z1" s="5"/>
    </row>
    <row r="2" customFormat="false" ht="23.85" hidden="false" customHeight="false" outlineLevel="0" collapsed="false">
      <c r="A2" s="5" t="n">
        <v>1</v>
      </c>
      <c r="B2" s="5" t="s">
        <v>819</v>
      </c>
      <c r="C2" s="5" t="n">
        <v>1</v>
      </c>
      <c r="D2" s="5" t="n">
        <v>0</v>
      </c>
      <c r="E2" s="5" t="n">
        <v>0</v>
      </c>
      <c r="F2" s="5" t="n">
        <v>0</v>
      </c>
      <c r="G2" s="5" t="n">
        <v>0</v>
      </c>
      <c r="H2" s="5" t="n">
        <v>0</v>
      </c>
      <c r="I2" s="5" t="n">
        <v>0</v>
      </c>
      <c r="J2" s="5" t="n">
        <v>0</v>
      </c>
      <c r="K2" s="5" t="n">
        <v>0</v>
      </c>
      <c r="L2" s="5" t="s">
        <v>1040</v>
      </c>
      <c r="M2" s="5" t="s">
        <v>1040</v>
      </c>
      <c r="N2" s="5" t="s">
        <v>1041</v>
      </c>
      <c r="O2" s="5" t="s">
        <v>52</v>
      </c>
      <c r="P2" s="5" t="n">
        <v>0</v>
      </c>
      <c r="Q2" s="5"/>
      <c r="R2" s="5"/>
      <c r="S2" s="5"/>
      <c r="T2" s="5"/>
      <c r="U2" s="5"/>
      <c r="V2" s="5"/>
      <c r="W2" s="5"/>
      <c r="X2" s="5"/>
      <c r="Y2" s="5"/>
      <c r="Z2" s="5"/>
    </row>
    <row r="3" customFormat="false" ht="23.85" hidden="false" customHeight="false" outlineLevel="0" collapsed="false">
      <c r="A3" s="5" t="n">
        <v>2</v>
      </c>
      <c r="B3" s="5" t="s">
        <v>824</v>
      </c>
      <c r="C3" s="5" t="n">
        <v>1</v>
      </c>
      <c r="D3" s="5" t="n">
        <v>0</v>
      </c>
      <c r="E3" s="5" t="n">
        <v>0</v>
      </c>
      <c r="F3" s="5" t="n">
        <v>0</v>
      </c>
      <c r="G3" s="5" t="n">
        <v>0</v>
      </c>
      <c r="H3" s="5" t="n">
        <v>0</v>
      </c>
      <c r="I3" s="5" t="n">
        <v>0</v>
      </c>
      <c r="J3" s="5" t="n">
        <v>0</v>
      </c>
      <c r="K3" s="5" t="n">
        <v>0</v>
      </c>
      <c r="L3" s="5" t="s">
        <v>1042</v>
      </c>
      <c r="M3" s="5" t="s">
        <v>1043</v>
      </c>
      <c r="N3" s="5" t="s">
        <v>1041</v>
      </c>
      <c r="O3" s="5" t="s">
        <v>52</v>
      </c>
      <c r="P3" s="5" t="n">
        <v>0</v>
      </c>
      <c r="Q3" s="5"/>
      <c r="R3" s="5"/>
      <c r="S3" s="5"/>
      <c r="T3" s="5"/>
      <c r="U3" s="5"/>
      <c r="V3" s="5"/>
      <c r="W3" s="5"/>
      <c r="X3" s="5"/>
      <c r="Y3" s="5"/>
      <c r="Z3" s="5"/>
    </row>
    <row r="4" customFormat="false" ht="23.85" hidden="false" customHeight="false" outlineLevel="0" collapsed="false">
      <c r="A4" s="5" t="n">
        <v>3</v>
      </c>
      <c r="B4" s="5" t="s">
        <v>828</v>
      </c>
      <c r="C4" s="5" t="n">
        <v>1</v>
      </c>
      <c r="D4" s="5" t="n">
        <v>0</v>
      </c>
      <c r="E4" s="5" t="n">
        <v>0</v>
      </c>
      <c r="F4" s="5" t="n">
        <v>0</v>
      </c>
      <c r="G4" s="5" t="n">
        <v>0</v>
      </c>
      <c r="H4" s="5" t="n">
        <v>0</v>
      </c>
      <c r="I4" s="5" t="n">
        <v>0</v>
      </c>
      <c r="J4" s="5" t="n">
        <v>0</v>
      </c>
      <c r="K4" s="5" t="n">
        <v>0</v>
      </c>
      <c r="L4" s="5"/>
      <c r="M4" s="5"/>
      <c r="N4" s="5" t="s">
        <v>1041</v>
      </c>
      <c r="O4" s="5" t="s">
        <v>52</v>
      </c>
      <c r="P4" s="5" t="n">
        <v>0</v>
      </c>
      <c r="Q4" s="5"/>
      <c r="R4" s="5"/>
      <c r="S4" s="5"/>
      <c r="T4" s="5"/>
      <c r="U4" s="5"/>
      <c r="V4" s="5"/>
      <c r="W4" s="5"/>
      <c r="X4" s="5"/>
      <c r="Y4" s="5"/>
      <c r="Z4" s="5"/>
    </row>
    <row r="5" customFormat="false" ht="23.85" hidden="false" customHeight="false" outlineLevel="0" collapsed="false">
      <c r="A5" s="5" t="n">
        <v>4</v>
      </c>
      <c r="B5" s="5" t="s">
        <v>58</v>
      </c>
      <c r="C5" s="5" t="n">
        <v>1</v>
      </c>
      <c r="D5" s="5" t="n">
        <v>1</v>
      </c>
      <c r="E5" s="5" t="n">
        <v>0</v>
      </c>
      <c r="F5" s="5" t="n">
        <v>0</v>
      </c>
      <c r="G5" s="5" t="n">
        <v>0</v>
      </c>
      <c r="H5" s="5" t="n">
        <v>0</v>
      </c>
      <c r="I5" s="5" t="n">
        <v>0</v>
      </c>
      <c r="J5" s="5" t="n">
        <v>0</v>
      </c>
      <c r="K5" s="5" t="n">
        <v>0</v>
      </c>
      <c r="L5" s="5"/>
      <c r="M5" s="5"/>
      <c r="N5" s="5" t="s">
        <v>1041</v>
      </c>
      <c r="O5" s="5" t="s">
        <v>52</v>
      </c>
      <c r="P5" s="5" t="n">
        <v>0</v>
      </c>
      <c r="Q5" s="5"/>
      <c r="R5" s="5"/>
      <c r="S5" s="5"/>
      <c r="T5" s="5"/>
      <c r="U5" s="5"/>
      <c r="V5" s="5"/>
      <c r="W5" s="5"/>
      <c r="X5" s="5"/>
      <c r="Y5" s="5"/>
      <c r="Z5" s="5"/>
    </row>
    <row r="6" customFormat="false" ht="23.85" hidden="false" customHeight="false" outlineLevel="0" collapsed="false">
      <c r="A6" s="5" t="n">
        <v>5</v>
      </c>
      <c r="B6" s="5" t="s">
        <v>62</v>
      </c>
      <c r="C6" s="5" t="n">
        <v>0</v>
      </c>
      <c r="D6" s="5" t="n">
        <v>1</v>
      </c>
      <c r="E6" s="5" t="n">
        <v>0</v>
      </c>
      <c r="F6" s="5" t="n">
        <v>0</v>
      </c>
      <c r="G6" s="5" t="n">
        <v>0</v>
      </c>
      <c r="H6" s="5" t="n">
        <v>0</v>
      </c>
      <c r="I6" s="5" t="n">
        <v>0</v>
      </c>
      <c r="J6" s="5" t="n">
        <v>0</v>
      </c>
      <c r="K6" s="5" t="n">
        <v>1</v>
      </c>
      <c r="L6" s="5"/>
      <c r="M6" s="5"/>
      <c r="N6" s="5" t="s">
        <v>1044</v>
      </c>
      <c r="O6" s="5" t="s">
        <v>52</v>
      </c>
      <c r="P6" s="5" t="n">
        <v>0</v>
      </c>
      <c r="Q6" s="5"/>
      <c r="R6" s="5"/>
      <c r="S6" s="5"/>
      <c r="T6" s="5"/>
      <c r="U6" s="5"/>
      <c r="V6" s="5"/>
      <c r="W6" s="5"/>
      <c r="X6" s="5"/>
      <c r="Y6" s="5"/>
      <c r="Z6" s="5"/>
    </row>
    <row r="7" customFormat="false" ht="23.85" hidden="false" customHeight="false" outlineLevel="0" collapsed="false">
      <c r="A7" s="5" t="n">
        <v>6</v>
      </c>
      <c r="B7" s="5" t="s">
        <v>839</v>
      </c>
      <c r="C7" s="5" t="n">
        <v>1</v>
      </c>
      <c r="D7" s="5" t="n">
        <v>1</v>
      </c>
      <c r="E7" s="5" t="n">
        <v>0</v>
      </c>
      <c r="F7" s="5" t="n">
        <v>0</v>
      </c>
      <c r="G7" s="5" t="n">
        <v>0</v>
      </c>
      <c r="H7" s="5" t="n">
        <v>0</v>
      </c>
      <c r="I7" s="5" t="n">
        <v>0</v>
      </c>
      <c r="J7" s="5" t="n">
        <v>0</v>
      </c>
      <c r="K7" s="5" t="n">
        <v>0</v>
      </c>
      <c r="L7" s="5"/>
      <c r="M7" s="5"/>
      <c r="N7" s="5" t="s">
        <v>1041</v>
      </c>
      <c r="O7" s="5" t="s">
        <v>52</v>
      </c>
      <c r="P7" s="5" t="n">
        <v>0</v>
      </c>
      <c r="Q7" s="5"/>
      <c r="R7" s="5"/>
      <c r="S7" s="5"/>
      <c r="T7" s="5"/>
      <c r="U7" s="5"/>
      <c r="V7" s="5"/>
      <c r="W7" s="5"/>
      <c r="X7" s="5"/>
      <c r="Y7" s="5"/>
      <c r="Z7" s="5"/>
    </row>
    <row r="8" customFormat="false" ht="35.05" hidden="false" customHeight="false" outlineLevel="0" collapsed="false">
      <c r="A8" s="5" t="n">
        <v>7</v>
      </c>
      <c r="B8" s="5" t="s">
        <v>842</v>
      </c>
      <c r="C8" s="5" t="n">
        <v>0</v>
      </c>
      <c r="D8" s="5" t="n">
        <v>0</v>
      </c>
      <c r="E8" s="5" t="n">
        <v>0</v>
      </c>
      <c r="F8" s="5" t="n">
        <v>0</v>
      </c>
      <c r="G8" s="5" t="n">
        <v>1</v>
      </c>
      <c r="H8" s="5" t="n">
        <v>1</v>
      </c>
      <c r="I8" s="5" t="n">
        <v>0</v>
      </c>
      <c r="J8" s="5" t="n">
        <v>0</v>
      </c>
      <c r="K8" s="5" t="n">
        <v>0</v>
      </c>
      <c r="L8" s="5" t="s">
        <v>1045</v>
      </c>
      <c r="M8" s="5"/>
      <c r="N8" s="5" t="s">
        <v>1046</v>
      </c>
      <c r="O8" s="5" t="s">
        <v>52</v>
      </c>
      <c r="P8" s="5" t="n">
        <v>1</v>
      </c>
      <c r="Q8" s="5"/>
      <c r="R8" s="5"/>
      <c r="S8" s="5"/>
      <c r="T8" s="5"/>
      <c r="U8" s="5"/>
      <c r="V8" s="5"/>
      <c r="W8" s="5"/>
      <c r="X8" s="5"/>
      <c r="Y8" s="5"/>
      <c r="Z8" s="5"/>
    </row>
    <row r="9" customFormat="false" ht="23.85" hidden="false" customHeight="false" outlineLevel="0" collapsed="false">
      <c r="A9" s="5" t="n">
        <v>8</v>
      </c>
      <c r="B9" s="5" t="s">
        <v>847</v>
      </c>
      <c r="C9" s="5" t="n">
        <v>1</v>
      </c>
      <c r="D9" s="5" t="n">
        <v>1</v>
      </c>
      <c r="E9" s="5" t="n">
        <v>0</v>
      </c>
      <c r="F9" s="5" t="n">
        <v>0</v>
      </c>
      <c r="G9" s="5" t="n">
        <v>0</v>
      </c>
      <c r="H9" s="5" t="n">
        <v>0</v>
      </c>
      <c r="I9" s="5" t="n">
        <v>0</v>
      </c>
      <c r="J9" s="5" t="n">
        <v>0</v>
      </c>
      <c r="K9" s="5" t="n">
        <v>0</v>
      </c>
      <c r="L9" s="5"/>
      <c r="M9" s="5"/>
      <c r="N9" s="5" t="s">
        <v>1041</v>
      </c>
      <c r="O9" s="5" t="s">
        <v>52</v>
      </c>
      <c r="P9" s="5" t="n">
        <v>0</v>
      </c>
      <c r="Q9" s="5"/>
      <c r="R9" s="5"/>
      <c r="S9" s="5"/>
      <c r="T9" s="5"/>
      <c r="U9" s="5"/>
      <c r="V9" s="5"/>
      <c r="W9" s="5"/>
      <c r="X9" s="5"/>
      <c r="Y9" s="5"/>
      <c r="Z9" s="5"/>
    </row>
    <row r="10" customFormat="false" ht="23.85" hidden="false" customHeight="false" outlineLevel="0" collapsed="false">
      <c r="A10" s="5" t="n">
        <v>9</v>
      </c>
      <c r="B10" s="5" t="s">
        <v>852</v>
      </c>
      <c r="C10" s="5" t="n">
        <v>1</v>
      </c>
      <c r="D10" s="5" t="n">
        <v>0</v>
      </c>
      <c r="E10" s="5" t="n">
        <v>0</v>
      </c>
      <c r="F10" s="5" t="n">
        <v>0</v>
      </c>
      <c r="G10" s="5" t="n">
        <v>0</v>
      </c>
      <c r="H10" s="5" t="n">
        <v>0</v>
      </c>
      <c r="I10" s="5" t="n">
        <v>0</v>
      </c>
      <c r="J10" s="5" t="n">
        <v>0</v>
      </c>
      <c r="K10" s="5" t="n">
        <v>0</v>
      </c>
      <c r="L10" s="5"/>
      <c r="M10" s="5"/>
      <c r="N10" s="5" t="s">
        <v>1041</v>
      </c>
      <c r="O10" s="5" t="s">
        <v>52</v>
      </c>
      <c r="P10" s="5" t="n">
        <v>0</v>
      </c>
      <c r="Q10" s="5"/>
      <c r="R10" s="5"/>
      <c r="S10" s="5"/>
      <c r="T10" s="5"/>
      <c r="U10" s="5"/>
      <c r="V10" s="5"/>
      <c r="W10" s="5"/>
      <c r="X10" s="5"/>
      <c r="Y10" s="5"/>
      <c r="Z10" s="5"/>
    </row>
    <row r="11" customFormat="false" ht="23.85" hidden="false" customHeight="false" outlineLevel="0" collapsed="false">
      <c r="A11" s="5" t="n">
        <v>10</v>
      </c>
      <c r="B11" s="5" t="s">
        <v>852</v>
      </c>
      <c r="C11" s="5" t="n">
        <v>1</v>
      </c>
      <c r="D11" s="5" t="n">
        <v>0</v>
      </c>
      <c r="E11" s="5" t="n">
        <v>0</v>
      </c>
      <c r="F11" s="5" t="n">
        <v>0</v>
      </c>
      <c r="G11" s="5" t="n">
        <v>0</v>
      </c>
      <c r="H11" s="5" t="n">
        <v>0</v>
      </c>
      <c r="I11" s="5" t="n">
        <v>0</v>
      </c>
      <c r="J11" s="5" t="n">
        <v>0</v>
      </c>
      <c r="K11" s="5" t="n">
        <v>0</v>
      </c>
      <c r="L11" s="5"/>
      <c r="M11" s="5"/>
      <c r="N11" s="5" t="s">
        <v>1041</v>
      </c>
      <c r="O11" s="5" t="s">
        <v>52</v>
      </c>
      <c r="P11" s="5" t="n">
        <v>0</v>
      </c>
      <c r="Q11" s="5"/>
      <c r="R11" s="5"/>
      <c r="S11" s="5"/>
      <c r="T11" s="5"/>
      <c r="U11" s="5"/>
      <c r="V11" s="5"/>
      <c r="W11" s="5"/>
      <c r="X11" s="5"/>
      <c r="Y11" s="5"/>
      <c r="Z11" s="5"/>
    </row>
    <row r="12" customFormat="false" ht="35.05" hidden="false" customHeight="false" outlineLevel="0" collapsed="false">
      <c r="A12" s="5" t="n">
        <v>11</v>
      </c>
      <c r="B12" s="5" t="s">
        <v>854</v>
      </c>
      <c r="C12" s="5" t="n">
        <v>0</v>
      </c>
      <c r="D12" s="5" t="n">
        <v>0</v>
      </c>
      <c r="E12" s="5" t="n">
        <v>0</v>
      </c>
      <c r="F12" s="5" t="n">
        <v>0</v>
      </c>
      <c r="G12" s="5" t="n">
        <v>1</v>
      </c>
      <c r="H12" s="5" t="n">
        <v>0</v>
      </c>
      <c r="I12" s="5" t="n">
        <v>0</v>
      </c>
      <c r="J12" s="5" t="n">
        <v>0</v>
      </c>
      <c r="K12" s="5" t="n">
        <v>0</v>
      </c>
      <c r="L12" s="5" t="s">
        <v>1047</v>
      </c>
      <c r="M12" s="5"/>
      <c r="N12" s="5" t="s">
        <v>1046</v>
      </c>
      <c r="O12" s="5" t="s">
        <v>52</v>
      </c>
      <c r="P12" s="5" t="n">
        <v>1</v>
      </c>
      <c r="Q12" s="5"/>
      <c r="R12" s="5"/>
      <c r="S12" s="5"/>
      <c r="T12" s="5"/>
      <c r="U12" s="5"/>
      <c r="V12" s="5"/>
      <c r="W12" s="5"/>
      <c r="X12" s="5"/>
      <c r="Y12" s="5"/>
      <c r="Z12" s="5"/>
    </row>
    <row r="13" customFormat="false" ht="35.05" hidden="false" customHeight="false" outlineLevel="0" collapsed="false">
      <c r="A13" s="5" t="n">
        <v>12</v>
      </c>
      <c r="B13" s="5" t="s">
        <v>857</v>
      </c>
      <c r="C13" s="5" t="n">
        <v>0</v>
      </c>
      <c r="D13" s="5" t="n">
        <v>0</v>
      </c>
      <c r="E13" s="5" t="n">
        <v>0</v>
      </c>
      <c r="F13" s="5" t="n">
        <v>0</v>
      </c>
      <c r="G13" s="5" t="n">
        <v>1</v>
      </c>
      <c r="H13" s="5" t="n">
        <v>0</v>
      </c>
      <c r="I13" s="5" t="n">
        <v>0</v>
      </c>
      <c r="J13" s="5" t="n">
        <v>0</v>
      </c>
      <c r="K13" s="5" t="n">
        <v>0</v>
      </c>
      <c r="L13" s="5"/>
      <c r="M13" s="5"/>
      <c r="N13" s="5" t="s">
        <v>1046</v>
      </c>
      <c r="O13" s="5" t="s">
        <v>52</v>
      </c>
      <c r="P13" s="5" t="n">
        <v>1</v>
      </c>
      <c r="Q13" s="5"/>
      <c r="R13" s="5"/>
      <c r="S13" s="5"/>
      <c r="T13" s="5"/>
      <c r="U13" s="5"/>
      <c r="V13" s="5"/>
      <c r="W13" s="5"/>
      <c r="X13" s="5"/>
      <c r="Y13" s="5"/>
      <c r="Z13" s="5"/>
    </row>
    <row r="14" customFormat="false" ht="23.85" hidden="false" customHeight="false" outlineLevel="0" collapsed="false">
      <c r="A14" s="5" t="n">
        <v>13</v>
      </c>
      <c r="B14" s="5" t="s">
        <v>860</v>
      </c>
      <c r="C14" s="5" t="n">
        <v>0</v>
      </c>
      <c r="D14" s="5" t="n">
        <v>1</v>
      </c>
      <c r="E14" s="5" t="n">
        <v>0</v>
      </c>
      <c r="F14" s="5" t="n">
        <v>0</v>
      </c>
      <c r="G14" s="5" t="n">
        <v>0</v>
      </c>
      <c r="H14" s="5" t="n">
        <v>0</v>
      </c>
      <c r="I14" s="5" t="n">
        <v>0</v>
      </c>
      <c r="J14" s="5" t="n">
        <v>0</v>
      </c>
      <c r="K14" s="5" t="n">
        <v>1</v>
      </c>
      <c r="L14" s="5"/>
      <c r="M14" s="5"/>
      <c r="N14" s="5" t="s">
        <v>1044</v>
      </c>
      <c r="O14" s="5" t="s">
        <v>52</v>
      </c>
      <c r="P14" s="5" t="n">
        <v>0</v>
      </c>
      <c r="Q14" s="5"/>
      <c r="R14" s="5"/>
      <c r="S14" s="5"/>
      <c r="T14" s="5"/>
      <c r="U14" s="5"/>
      <c r="V14" s="5"/>
      <c r="W14" s="5"/>
      <c r="X14" s="5"/>
      <c r="Y14" s="5"/>
      <c r="Z14" s="5"/>
    </row>
    <row r="15" customFormat="false" ht="35.05" hidden="false" customHeight="false" outlineLevel="0" collapsed="false">
      <c r="A15" s="5" t="n">
        <v>14</v>
      </c>
      <c r="B15" s="5" t="s">
        <v>864</v>
      </c>
      <c r="C15" s="5" t="n">
        <v>0</v>
      </c>
      <c r="D15" s="5" t="n">
        <v>0</v>
      </c>
      <c r="E15" s="5" t="n">
        <v>0</v>
      </c>
      <c r="F15" s="5" t="n">
        <v>0</v>
      </c>
      <c r="G15" s="5" t="n">
        <v>1</v>
      </c>
      <c r="H15" s="5" t="n">
        <v>1</v>
      </c>
      <c r="I15" s="5" t="n">
        <v>0</v>
      </c>
      <c r="J15" s="5" t="n">
        <v>0</v>
      </c>
      <c r="K15" s="5" t="n">
        <v>0</v>
      </c>
      <c r="L15" s="5" t="s">
        <v>1047</v>
      </c>
      <c r="M15" s="5"/>
      <c r="N15" s="5" t="s">
        <v>1046</v>
      </c>
      <c r="O15" s="5" t="s">
        <v>52</v>
      </c>
      <c r="P15" s="5" t="n">
        <v>1</v>
      </c>
      <c r="Q15" s="5"/>
      <c r="R15" s="5"/>
      <c r="S15" s="5"/>
      <c r="T15" s="5"/>
      <c r="U15" s="5"/>
      <c r="V15" s="5"/>
      <c r="W15" s="5"/>
      <c r="X15" s="5"/>
      <c r="Y15" s="5"/>
      <c r="Z15" s="5"/>
    </row>
    <row r="16" customFormat="false" ht="23.85" hidden="false" customHeight="false" outlineLevel="0" collapsed="false">
      <c r="A16" s="5" t="n">
        <v>15</v>
      </c>
      <c r="B16" s="5" t="s">
        <v>88</v>
      </c>
      <c r="C16" s="5" t="n">
        <v>1</v>
      </c>
      <c r="D16" s="5" t="n">
        <v>0</v>
      </c>
      <c r="E16" s="5" t="n">
        <v>0</v>
      </c>
      <c r="F16" s="5" t="n">
        <v>0</v>
      </c>
      <c r="G16" s="5" t="n">
        <v>0</v>
      </c>
      <c r="H16" s="5" t="n">
        <v>0</v>
      </c>
      <c r="I16" s="5" t="n">
        <v>0</v>
      </c>
      <c r="J16" s="5" t="n">
        <v>0</v>
      </c>
      <c r="K16" s="5" t="n">
        <v>0</v>
      </c>
      <c r="L16" s="5" t="s">
        <v>1048</v>
      </c>
      <c r="M16" s="5"/>
      <c r="N16" s="5" t="s">
        <v>1041</v>
      </c>
      <c r="O16" s="5" t="s">
        <v>52</v>
      </c>
      <c r="P16" s="5" t="n">
        <v>0</v>
      </c>
      <c r="Q16" s="5"/>
      <c r="R16" s="5"/>
      <c r="S16" s="5"/>
      <c r="T16" s="5"/>
      <c r="U16" s="5"/>
      <c r="V16" s="5"/>
      <c r="W16" s="5"/>
      <c r="X16" s="5"/>
      <c r="Y16" s="5"/>
      <c r="Z16" s="5"/>
    </row>
    <row r="17" customFormat="false" ht="35.05" hidden="false" customHeight="false" outlineLevel="0" collapsed="false">
      <c r="A17" s="5" t="n">
        <v>16</v>
      </c>
      <c r="B17" s="5" t="s">
        <v>869</v>
      </c>
      <c r="C17" s="5" t="n">
        <v>1</v>
      </c>
      <c r="D17" s="5" t="n">
        <v>0</v>
      </c>
      <c r="E17" s="5" t="n">
        <v>0</v>
      </c>
      <c r="F17" s="5" t="n">
        <v>0</v>
      </c>
      <c r="G17" s="5" t="n">
        <v>0</v>
      </c>
      <c r="H17" s="5" t="n">
        <v>0</v>
      </c>
      <c r="I17" s="5" t="n">
        <v>0</v>
      </c>
      <c r="J17" s="5" t="n">
        <v>0</v>
      </c>
      <c r="K17" s="5" t="n">
        <v>0</v>
      </c>
      <c r="L17" s="5"/>
      <c r="M17" s="5"/>
      <c r="N17" s="5" t="s">
        <v>1046</v>
      </c>
      <c r="O17" s="5" t="s">
        <v>52</v>
      </c>
      <c r="P17" s="5" t="n">
        <v>1</v>
      </c>
      <c r="Q17" s="5"/>
      <c r="R17" s="5"/>
      <c r="S17" s="5"/>
      <c r="T17" s="5"/>
      <c r="U17" s="5"/>
      <c r="V17" s="5"/>
      <c r="W17" s="5"/>
      <c r="X17" s="5"/>
      <c r="Y17" s="5"/>
      <c r="Z17" s="5"/>
    </row>
    <row r="18" customFormat="false" ht="23.85" hidden="false" customHeight="false" outlineLevel="0" collapsed="false">
      <c r="A18" s="5" t="n">
        <v>17</v>
      </c>
      <c r="B18" s="5" t="s">
        <v>94</v>
      </c>
      <c r="C18" s="5" t="n">
        <v>1</v>
      </c>
      <c r="D18" s="5" t="n">
        <v>1</v>
      </c>
      <c r="E18" s="5" t="n">
        <v>0</v>
      </c>
      <c r="F18" s="5" t="n">
        <v>0</v>
      </c>
      <c r="G18" s="5" t="n">
        <v>0</v>
      </c>
      <c r="H18" s="5" t="n">
        <v>0</v>
      </c>
      <c r="I18" s="5" t="n">
        <v>0</v>
      </c>
      <c r="J18" s="5" t="n">
        <v>0</v>
      </c>
      <c r="K18" s="5" t="n">
        <v>0</v>
      </c>
      <c r="L18" s="5"/>
      <c r="M18" s="5"/>
      <c r="N18" s="5" t="s">
        <v>1041</v>
      </c>
      <c r="O18" s="5" t="s">
        <v>52</v>
      </c>
      <c r="P18" s="5" t="n">
        <v>0</v>
      </c>
      <c r="Q18" s="5"/>
      <c r="R18" s="5"/>
      <c r="S18" s="5"/>
      <c r="T18" s="5"/>
      <c r="U18" s="5"/>
      <c r="V18" s="5"/>
      <c r="W18" s="5"/>
      <c r="X18" s="5"/>
      <c r="Y18" s="5"/>
      <c r="Z18" s="5"/>
    </row>
    <row r="19" customFormat="false" ht="23.85" hidden="false" customHeight="false" outlineLevel="0" collapsed="false">
      <c r="A19" s="5" t="n">
        <v>18</v>
      </c>
      <c r="B19" s="5" t="s">
        <v>877</v>
      </c>
      <c r="C19" s="5" t="n">
        <v>1</v>
      </c>
      <c r="D19" s="5" t="n">
        <v>1</v>
      </c>
      <c r="E19" s="5" t="n">
        <v>0</v>
      </c>
      <c r="F19" s="5" t="n">
        <v>0</v>
      </c>
      <c r="G19" s="5" t="n">
        <v>0</v>
      </c>
      <c r="H19" s="5" t="n">
        <v>0</v>
      </c>
      <c r="I19" s="5" t="n">
        <v>0</v>
      </c>
      <c r="J19" s="5" t="n">
        <v>0</v>
      </c>
      <c r="K19" s="5" t="n">
        <v>0</v>
      </c>
      <c r="L19" s="5"/>
      <c r="M19" s="5"/>
      <c r="N19" s="5" t="s">
        <v>1041</v>
      </c>
      <c r="O19" s="5" t="s">
        <v>52</v>
      </c>
      <c r="P19" s="5" t="n">
        <v>0</v>
      </c>
      <c r="Q19" s="5"/>
      <c r="R19" s="5"/>
      <c r="S19" s="5"/>
      <c r="T19" s="5"/>
      <c r="U19" s="5"/>
      <c r="V19" s="5"/>
      <c r="W19" s="5"/>
      <c r="X19" s="5"/>
      <c r="Y19" s="5"/>
      <c r="Z19" s="5"/>
    </row>
    <row r="20" customFormat="false" ht="23.85" hidden="false" customHeight="false" outlineLevel="0" collapsed="false">
      <c r="A20" s="5" t="n">
        <v>19</v>
      </c>
      <c r="B20" s="5" t="s">
        <v>882</v>
      </c>
      <c r="C20" s="5" t="n">
        <v>1</v>
      </c>
      <c r="D20" s="5" t="n">
        <v>0</v>
      </c>
      <c r="E20" s="5" t="n">
        <v>0</v>
      </c>
      <c r="F20" s="5" t="n">
        <v>0</v>
      </c>
      <c r="G20" s="5" t="n">
        <v>0</v>
      </c>
      <c r="H20" s="5" t="n">
        <v>0</v>
      </c>
      <c r="I20" s="5" t="n">
        <v>0</v>
      </c>
      <c r="J20" s="5" t="n">
        <v>0</v>
      </c>
      <c r="K20" s="5" t="n">
        <v>0</v>
      </c>
      <c r="L20" s="5" t="s">
        <v>1040</v>
      </c>
      <c r="M20" s="5" t="s">
        <v>1040</v>
      </c>
      <c r="N20" s="5" t="s">
        <v>1041</v>
      </c>
      <c r="O20" s="5" t="s">
        <v>52</v>
      </c>
      <c r="P20" s="5" t="n">
        <v>0</v>
      </c>
      <c r="Q20" s="5"/>
      <c r="R20" s="5"/>
      <c r="S20" s="5"/>
      <c r="T20" s="5"/>
      <c r="U20" s="5"/>
      <c r="V20" s="5"/>
      <c r="W20" s="5"/>
      <c r="X20" s="5"/>
      <c r="Y20" s="5"/>
      <c r="Z20" s="5"/>
    </row>
    <row r="21" customFormat="false" ht="35.05" hidden="false" customHeight="false" outlineLevel="0" collapsed="false">
      <c r="A21" s="5" t="n">
        <v>20</v>
      </c>
      <c r="B21" s="5" t="s">
        <v>885</v>
      </c>
      <c r="C21" s="5" t="n">
        <v>0</v>
      </c>
      <c r="D21" s="5" t="n">
        <v>1</v>
      </c>
      <c r="E21" s="5" t="n">
        <v>0</v>
      </c>
      <c r="F21" s="5" t="n">
        <v>0</v>
      </c>
      <c r="G21" s="5" t="n">
        <v>1</v>
      </c>
      <c r="H21" s="5" t="n">
        <v>1</v>
      </c>
      <c r="I21" s="5" t="n">
        <v>0</v>
      </c>
      <c r="J21" s="5" t="n">
        <v>0</v>
      </c>
      <c r="K21" s="5" t="n">
        <v>0</v>
      </c>
      <c r="L21" s="5" t="s">
        <v>1047</v>
      </c>
      <c r="M21" s="5"/>
      <c r="N21" s="5" t="s">
        <v>1046</v>
      </c>
      <c r="O21" s="5" t="s">
        <v>52</v>
      </c>
      <c r="P21" s="5" t="n">
        <v>1</v>
      </c>
      <c r="Q21" s="5"/>
      <c r="R21" s="5"/>
      <c r="S21" s="5"/>
      <c r="T21" s="5"/>
      <c r="U21" s="5"/>
      <c r="V21" s="5"/>
      <c r="W21" s="5"/>
      <c r="X21" s="5"/>
      <c r="Y21" s="5"/>
      <c r="Z21" s="5"/>
    </row>
    <row r="22" customFormat="false" ht="35.05" hidden="false" customHeight="false" outlineLevel="0" collapsed="false">
      <c r="A22" s="5" t="n">
        <v>21</v>
      </c>
      <c r="B22" s="5" t="s">
        <v>102</v>
      </c>
      <c r="C22" s="5" t="n">
        <v>0</v>
      </c>
      <c r="D22" s="5" t="n">
        <v>0</v>
      </c>
      <c r="E22" s="5" t="n">
        <v>0</v>
      </c>
      <c r="F22" s="5" t="n">
        <v>0</v>
      </c>
      <c r="G22" s="5" t="n">
        <v>1</v>
      </c>
      <c r="H22" s="5" t="n">
        <v>1</v>
      </c>
      <c r="I22" s="5" t="n">
        <v>1</v>
      </c>
      <c r="J22" s="5" t="n">
        <v>0</v>
      </c>
      <c r="K22" s="5" t="n">
        <v>1</v>
      </c>
      <c r="L22" s="5"/>
      <c r="M22" s="5"/>
      <c r="N22" s="5" t="s">
        <v>1046</v>
      </c>
      <c r="O22" s="5" t="s">
        <v>52</v>
      </c>
      <c r="P22" s="5" t="n">
        <v>1</v>
      </c>
      <c r="Q22" s="5"/>
      <c r="R22" s="5"/>
      <c r="S22" s="5"/>
      <c r="T22" s="5"/>
      <c r="U22" s="5"/>
      <c r="V22" s="5"/>
      <c r="W22" s="5"/>
      <c r="X22" s="5"/>
      <c r="Y22" s="5"/>
      <c r="Z22" s="5"/>
    </row>
    <row r="23" customFormat="false" ht="35.05" hidden="false" customHeight="false" outlineLevel="0" collapsed="false">
      <c r="A23" s="5" t="n">
        <v>22</v>
      </c>
      <c r="B23" s="5" t="s">
        <v>892</v>
      </c>
      <c r="C23" s="5" t="n">
        <v>0</v>
      </c>
      <c r="D23" s="5" t="n">
        <v>1</v>
      </c>
      <c r="E23" s="5" t="n">
        <v>0</v>
      </c>
      <c r="F23" s="5" t="n">
        <v>0</v>
      </c>
      <c r="G23" s="5" t="n">
        <v>1</v>
      </c>
      <c r="H23" s="5" t="n">
        <v>1</v>
      </c>
      <c r="I23" s="5" t="n">
        <v>1</v>
      </c>
      <c r="J23" s="5" t="n">
        <v>0</v>
      </c>
      <c r="K23" s="5" t="n">
        <v>0</v>
      </c>
      <c r="L23" s="5"/>
      <c r="M23" s="5"/>
      <c r="N23" s="5" t="s">
        <v>1046</v>
      </c>
      <c r="O23" s="5" t="s">
        <v>52</v>
      </c>
      <c r="P23" s="5" t="n">
        <v>1</v>
      </c>
      <c r="Q23" s="5"/>
      <c r="R23" s="5"/>
      <c r="S23" s="5"/>
      <c r="T23" s="5"/>
      <c r="U23" s="5"/>
      <c r="V23" s="5"/>
      <c r="W23" s="5"/>
      <c r="X23" s="5"/>
      <c r="Y23" s="5"/>
      <c r="Z23" s="5"/>
    </row>
    <row r="24" customFormat="false" ht="23.85" hidden="false" customHeight="false" outlineLevel="0" collapsed="false">
      <c r="A24" s="5" t="n">
        <v>23</v>
      </c>
      <c r="B24" s="5" t="s">
        <v>896</v>
      </c>
      <c r="C24" s="5" t="n">
        <v>1</v>
      </c>
      <c r="D24" s="5" t="n">
        <v>1</v>
      </c>
      <c r="E24" s="5" t="n">
        <v>0</v>
      </c>
      <c r="F24" s="5" t="n">
        <v>0</v>
      </c>
      <c r="G24" s="5" t="n">
        <v>0</v>
      </c>
      <c r="H24" s="5" t="n">
        <v>0</v>
      </c>
      <c r="I24" s="5" t="n">
        <v>0</v>
      </c>
      <c r="J24" s="5" t="n">
        <v>0</v>
      </c>
      <c r="K24" s="5" t="n">
        <v>0</v>
      </c>
      <c r="L24" s="5"/>
      <c r="M24" s="5"/>
      <c r="N24" s="5" t="s">
        <v>1041</v>
      </c>
      <c r="O24" s="5" t="s">
        <v>52</v>
      </c>
      <c r="P24" s="5" t="n">
        <v>0</v>
      </c>
      <c r="Q24" s="5"/>
      <c r="R24" s="5"/>
      <c r="S24" s="5"/>
      <c r="T24" s="5"/>
      <c r="U24" s="5"/>
      <c r="V24" s="5"/>
      <c r="W24" s="5"/>
      <c r="X24" s="5"/>
      <c r="Y24" s="5"/>
      <c r="Z24" s="5"/>
    </row>
    <row r="25" customFormat="false" ht="23.85" hidden="false" customHeight="false" outlineLevel="0" collapsed="false">
      <c r="A25" s="5" t="n">
        <v>24</v>
      </c>
      <c r="B25" s="5" t="s">
        <v>899</v>
      </c>
      <c r="C25" s="5" t="n">
        <v>0</v>
      </c>
      <c r="D25" s="5" t="n">
        <v>1</v>
      </c>
      <c r="E25" s="5" t="n">
        <v>0</v>
      </c>
      <c r="F25" s="5" t="n">
        <v>0</v>
      </c>
      <c r="G25" s="5" t="n">
        <v>0</v>
      </c>
      <c r="H25" s="5" t="n">
        <v>0</v>
      </c>
      <c r="I25" s="5" t="n">
        <v>0</v>
      </c>
      <c r="J25" s="5" t="n">
        <v>0</v>
      </c>
      <c r="K25" s="5" t="n">
        <v>1</v>
      </c>
      <c r="L25" s="5"/>
      <c r="M25" s="5"/>
      <c r="N25" s="5" t="s">
        <v>1044</v>
      </c>
      <c r="O25" s="5" t="s">
        <v>52</v>
      </c>
      <c r="P25" s="5" t="n">
        <v>0</v>
      </c>
      <c r="Q25" s="5"/>
      <c r="R25" s="5"/>
      <c r="S25" s="5"/>
      <c r="T25" s="5"/>
      <c r="U25" s="5"/>
      <c r="V25" s="5"/>
      <c r="W25" s="5"/>
      <c r="X25" s="5"/>
      <c r="Y25" s="5"/>
      <c r="Z25" s="5"/>
    </row>
    <row r="26" customFormat="false" ht="23.85" hidden="false" customHeight="false" outlineLevel="0" collapsed="false">
      <c r="A26" s="5" t="n">
        <v>25</v>
      </c>
      <c r="B26" s="5" t="s">
        <v>902</v>
      </c>
      <c r="C26" s="5" t="n">
        <v>1</v>
      </c>
      <c r="D26" s="5" t="n">
        <v>0</v>
      </c>
      <c r="E26" s="5" t="n">
        <v>0</v>
      </c>
      <c r="F26" s="5" t="n">
        <v>0</v>
      </c>
      <c r="G26" s="5" t="n">
        <v>0</v>
      </c>
      <c r="H26" s="5" t="n">
        <v>0</v>
      </c>
      <c r="I26" s="5" t="n">
        <v>0</v>
      </c>
      <c r="J26" s="5" t="n">
        <v>0</v>
      </c>
      <c r="K26" s="5" t="n">
        <v>0</v>
      </c>
      <c r="L26" s="5"/>
      <c r="M26" s="5"/>
      <c r="N26" s="5" t="s">
        <v>1041</v>
      </c>
      <c r="O26" s="5" t="s">
        <v>52</v>
      </c>
      <c r="P26" s="5" t="n">
        <v>0</v>
      </c>
      <c r="Q26" s="5"/>
      <c r="R26" s="5"/>
      <c r="S26" s="5"/>
      <c r="T26" s="5"/>
      <c r="U26" s="5"/>
      <c r="V26" s="5"/>
      <c r="W26" s="5"/>
      <c r="X26" s="5"/>
      <c r="Y26" s="5"/>
      <c r="Z26" s="5"/>
    </row>
    <row r="27" customFormat="false" ht="23.85" hidden="false" customHeight="false" outlineLevel="0" collapsed="false">
      <c r="A27" s="5" t="n">
        <v>26</v>
      </c>
      <c r="B27" s="5" t="s">
        <v>906</v>
      </c>
      <c r="C27" s="5" t="n">
        <v>1</v>
      </c>
      <c r="D27" s="5" t="n">
        <v>0</v>
      </c>
      <c r="E27" s="5" t="n">
        <v>0</v>
      </c>
      <c r="F27" s="5" t="n">
        <v>0</v>
      </c>
      <c r="G27" s="5" t="n">
        <v>0</v>
      </c>
      <c r="H27" s="5" t="n">
        <v>0</v>
      </c>
      <c r="I27" s="5" t="n">
        <v>0</v>
      </c>
      <c r="J27" s="5" t="n">
        <v>0</v>
      </c>
      <c r="K27" s="5" t="n">
        <v>1</v>
      </c>
      <c r="L27" s="5"/>
      <c r="M27" s="5"/>
      <c r="N27" s="5" t="s">
        <v>1041</v>
      </c>
      <c r="O27" s="5" t="s">
        <v>52</v>
      </c>
      <c r="P27" s="5" t="n">
        <v>0</v>
      </c>
      <c r="Q27" s="5"/>
      <c r="R27" s="5"/>
      <c r="S27" s="5"/>
      <c r="T27" s="5"/>
      <c r="U27" s="5"/>
      <c r="V27" s="5"/>
      <c r="W27" s="5"/>
      <c r="X27" s="5"/>
      <c r="Y27" s="5"/>
      <c r="Z27" s="5"/>
    </row>
    <row r="28" customFormat="false" ht="35.05" hidden="false" customHeight="false" outlineLevel="0" collapsed="false">
      <c r="A28" s="5" t="n">
        <v>27</v>
      </c>
      <c r="B28" s="5" t="s">
        <v>115</v>
      </c>
      <c r="C28" s="5" t="n">
        <v>0</v>
      </c>
      <c r="D28" s="5" t="n">
        <v>1</v>
      </c>
      <c r="E28" s="5" t="n">
        <v>0</v>
      </c>
      <c r="F28" s="5" t="n">
        <v>0</v>
      </c>
      <c r="G28" s="5" t="n">
        <v>1</v>
      </c>
      <c r="H28" s="5" t="n">
        <v>1</v>
      </c>
      <c r="I28" s="5" t="n">
        <v>1</v>
      </c>
      <c r="J28" s="5" t="n">
        <v>0</v>
      </c>
      <c r="K28" s="5" t="n">
        <v>0</v>
      </c>
      <c r="L28" s="5"/>
      <c r="M28" s="5"/>
      <c r="N28" s="5" t="s">
        <v>1046</v>
      </c>
      <c r="O28" s="5" t="s">
        <v>52</v>
      </c>
      <c r="P28" s="5" t="n">
        <v>1</v>
      </c>
      <c r="Q28" s="5"/>
      <c r="R28" s="5"/>
      <c r="S28" s="5"/>
      <c r="T28" s="5"/>
      <c r="U28" s="5"/>
      <c r="V28" s="5"/>
      <c r="W28" s="5"/>
      <c r="X28" s="5"/>
      <c r="Y28" s="5"/>
      <c r="Z28" s="5"/>
    </row>
    <row r="29" customFormat="false" ht="35.05" hidden="false" customHeight="false" outlineLevel="0" collapsed="false">
      <c r="A29" s="5" t="n">
        <v>28</v>
      </c>
      <c r="B29" s="5" t="s">
        <v>914</v>
      </c>
      <c r="C29" s="5" t="n">
        <v>0</v>
      </c>
      <c r="D29" s="5" t="n">
        <v>0</v>
      </c>
      <c r="E29" s="5" t="n">
        <v>0</v>
      </c>
      <c r="F29" s="5" t="n">
        <v>1</v>
      </c>
      <c r="G29" s="5" t="n">
        <v>1</v>
      </c>
      <c r="H29" s="5" t="n">
        <v>0</v>
      </c>
      <c r="I29" s="5" t="n">
        <v>0</v>
      </c>
      <c r="J29" s="5" t="n">
        <v>0</v>
      </c>
      <c r="K29" s="5" t="n">
        <v>0</v>
      </c>
      <c r="L29" s="5" t="s">
        <v>1049</v>
      </c>
      <c r="M29" s="5" t="s">
        <v>1049</v>
      </c>
      <c r="N29" s="5" t="s">
        <v>1046</v>
      </c>
      <c r="O29" s="5" t="s">
        <v>52</v>
      </c>
      <c r="P29" s="5" t="n">
        <v>1</v>
      </c>
      <c r="Q29" s="5"/>
      <c r="R29" s="5"/>
      <c r="S29" s="5"/>
      <c r="T29" s="5"/>
      <c r="U29" s="5"/>
      <c r="V29" s="5"/>
      <c r="W29" s="5"/>
      <c r="X29" s="5"/>
      <c r="Y29" s="5"/>
      <c r="Z29" s="5"/>
    </row>
    <row r="30" customFormat="false" ht="35.05" hidden="false" customHeight="false" outlineLevel="0" collapsed="false">
      <c r="A30" s="5" t="n">
        <v>29</v>
      </c>
      <c r="B30" s="5" t="s">
        <v>917</v>
      </c>
      <c r="C30" s="5" t="n">
        <v>1</v>
      </c>
      <c r="D30" s="5" t="n">
        <v>0</v>
      </c>
      <c r="E30" s="5" t="n">
        <v>0</v>
      </c>
      <c r="F30" s="5" t="n">
        <v>0</v>
      </c>
      <c r="G30" s="5" t="n">
        <v>1</v>
      </c>
      <c r="H30" s="5" t="n">
        <v>1</v>
      </c>
      <c r="I30" s="5" t="n">
        <v>0</v>
      </c>
      <c r="J30" s="5" t="n">
        <v>1</v>
      </c>
      <c r="K30" s="5" t="n">
        <v>0</v>
      </c>
      <c r="L30" s="5"/>
      <c r="M30" s="5"/>
      <c r="N30" s="5" t="s">
        <v>1046</v>
      </c>
      <c r="O30" s="5" t="s">
        <v>52</v>
      </c>
      <c r="P30" s="5" t="n">
        <v>1</v>
      </c>
      <c r="Q30" s="5"/>
      <c r="R30" s="5"/>
      <c r="S30" s="5"/>
      <c r="T30" s="5"/>
      <c r="U30" s="5"/>
      <c r="V30" s="5"/>
      <c r="W30" s="5"/>
      <c r="X30" s="5"/>
      <c r="Y30" s="5"/>
      <c r="Z30" s="5"/>
    </row>
    <row r="31" customFormat="false" ht="23.85" hidden="false" customHeight="false" outlineLevel="0" collapsed="false">
      <c r="A31" s="5" t="n">
        <v>30</v>
      </c>
      <c r="B31" s="5" t="s">
        <v>921</v>
      </c>
      <c r="C31" s="5" t="n">
        <v>1</v>
      </c>
      <c r="D31" s="5" t="n">
        <v>0</v>
      </c>
      <c r="E31" s="5" t="n">
        <v>0</v>
      </c>
      <c r="F31" s="5" t="n">
        <v>0</v>
      </c>
      <c r="G31" s="5" t="n">
        <v>0</v>
      </c>
      <c r="H31" s="5" t="n">
        <v>0</v>
      </c>
      <c r="I31" s="5" t="n">
        <v>0</v>
      </c>
      <c r="J31" s="5" t="n">
        <v>0</v>
      </c>
      <c r="K31" s="5" t="n">
        <v>0</v>
      </c>
      <c r="L31" s="5"/>
      <c r="M31" s="5"/>
      <c r="N31" s="5" t="s">
        <v>1041</v>
      </c>
      <c r="O31" s="5" t="s">
        <v>52</v>
      </c>
      <c r="P31" s="5" t="n">
        <v>0</v>
      </c>
      <c r="Q31" s="5"/>
      <c r="R31" s="5"/>
      <c r="S31" s="5"/>
      <c r="T31" s="5"/>
      <c r="U31" s="5"/>
      <c r="V31" s="5"/>
      <c r="W31" s="5"/>
      <c r="X31" s="5"/>
      <c r="Y31" s="5"/>
      <c r="Z31" s="5"/>
    </row>
    <row r="32" customFormat="false" ht="23.85" hidden="false" customHeight="false" outlineLevel="0" collapsed="false">
      <c r="A32" s="5" t="n">
        <v>31</v>
      </c>
      <c r="B32" s="5" t="s">
        <v>924</v>
      </c>
      <c r="C32" s="5" t="n">
        <v>1</v>
      </c>
      <c r="D32" s="5" t="n">
        <v>1</v>
      </c>
      <c r="E32" s="5" t="n">
        <v>0</v>
      </c>
      <c r="F32" s="5" t="n">
        <v>0</v>
      </c>
      <c r="G32" s="5" t="n">
        <v>0</v>
      </c>
      <c r="H32" s="5" t="n">
        <v>0</v>
      </c>
      <c r="I32" s="5" t="n">
        <v>0</v>
      </c>
      <c r="J32" s="5" t="n">
        <v>0</v>
      </c>
      <c r="K32" s="5" t="n">
        <v>0</v>
      </c>
      <c r="L32" s="5"/>
      <c r="M32" s="5"/>
      <c r="N32" s="5" t="s">
        <v>1041</v>
      </c>
      <c r="O32" s="5" t="s">
        <v>52</v>
      </c>
      <c r="P32" s="5" t="n">
        <v>0</v>
      </c>
      <c r="Q32" s="5"/>
      <c r="R32" s="5"/>
      <c r="S32" s="5"/>
      <c r="T32" s="5"/>
      <c r="U32" s="5"/>
      <c r="V32" s="5"/>
      <c r="W32" s="5"/>
      <c r="X32" s="5"/>
      <c r="Y32" s="5"/>
      <c r="Z32" s="5"/>
    </row>
    <row r="33" customFormat="false" ht="23.85" hidden="false" customHeight="false" outlineLevel="0" collapsed="false">
      <c r="A33" s="5" t="n">
        <v>32</v>
      </c>
      <c r="B33" s="5" t="s">
        <v>928</v>
      </c>
      <c r="C33" s="5" t="n">
        <v>0</v>
      </c>
      <c r="D33" s="5" t="n">
        <v>1</v>
      </c>
      <c r="E33" s="5" t="n">
        <v>0</v>
      </c>
      <c r="F33" s="5" t="n">
        <v>0</v>
      </c>
      <c r="G33" s="5" t="n">
        <v>0</v>
      </c>
      <c r="H33" s="5" t="n">
        <v>0</v>
      </c>
      <c r="I33" s="5" t="n">
        <v>0</v>
      </c>
      <c r="J33" s="5" t="n">
        <v>0</v>
      </c>
      <c r="K33" s="5" t="n">
        <v>1</v>
      </c>
      <c r="L33" s="5"/>
      <c r="M33" s="5"/>
      <c r="N33" s="5" t="s">
        <v>1044</v>
      </c>
      <c r="O33" s="5" t="s">
        <v>52</v>
      </c>
      <c r="P33" s="5" t="n">
        <v>0</v>
      </c>
      <c r="Q33" s="5"/>
      <c r="R33" s="5"/>
      <c r="S33" s="5"/>
      <c r="T33" s="5"/>
      <c r="U33" s="5"/>
      <c r="V33" s="5"/>
      <c r="W33" s="5"/>
      <c r="X33" s="5"/>
      <c r="Y33" s="5"/>
      <c r="Z33" s="5"/>
    </row>
    <row r="34" customFormat="false" ht="23.85" hidden="false" customHeight="false" outlineLevel="0" collapsed="false">
      <c r="A34" s="5" t="n">
        <v>33</v>
      </c>
      <c r="B34" s="5" t="s">
        <v>932</v>
      </c>
      <c r="C34" s="5" t="n">
        <v>0</v>
      </c>
      <c r="D34" s="5" t="n">
        <v>1</v>
      </c>
      <c r="E34" s="5" t="n">
        <v>0</v>
      </c>
      <c r="F34" s="5" t="n">
        <v>0</v>
      </c>
      <c r="G34" s="5" t="n">
        <v>0</v>
      </c>
      <c r="H34" s="5" t="n">
        <v>0</v>
      </c>
      <c r="I34" s="5" t="n">
        <v>0</v>
      </c>
      <c r="J34" s="5" t="n">
        <v>0</v>
      </c>
      <c r="K34" s="5" t="n">
        <v>1</v>
      </c>
      <c r="L34" s="5"/>
      <c r="M34" s="5"/>
      <c r="N34" s="5" t="s">
        <v>1044</v>
      </c>
      <c r="O34" s="5" t="s">
        <v>52</v>
      </c>
      <c r="P34" s="5" t="n">
        <v>0</v>
      </c>
      <c r="Q34" s="5"/>
      <c r="R34" s="5"/>
      <c r="S34" s="5"/>
      <c r="T34" s="5"/>
      <c r="U34" s="5"/>
      <c r="V34" s="5"/>
      <c r="W34" s="5"/>
      <c r="X34" s="5"/>
      <c r="Y34" s="5"/>
      <c r="Z34" s="5"/>
    </row>
    <row r="35" customFormat="false" ht="35.05" hidden="false" customHeight="false" outlineLevel="0" collapsed="false">
      <c r="A35" s="5" t="n">
        <v>34</v>
      </c>
      <c r="B35" s="5" t="s">
        <v>935</v>
      </c>
      <c r="C35" s="5" t="n">
        <v>0</v>
      </c>
      <c r="D35" s="5" t="n">
        <v>0</v>
      </c>
      <c r="E35" s="5" t="n">
        <v>0</v>
      </c>
      <c r="F35" s="5" t="n">
        <v>0</v>
      </c>
      <c r="G35" s="5" t="n">
        <v>1</v>
      </c>
      <c r="H35" s="5" t="n">
        <v>1</v>
      </c>
      <c r="I35" s="5" t="n">
        <v>0</v>
      </c>
      <c r="J35" s="5" t="n">
        <v>0</v>
      </c>
      <c r="K35" s="5" t="n">
        <v>0</v>
      </c>
      <c r="L35" s="5"/>
      <c r="M35" s="5"/>
      <c r="N35" s="5" t="s">
        <v>1046</v>
      </c>
      <c r="O35" s="5" t="s">
        <v>52</v>
      </c>
      <c r="P35" s="5" t="n">
        <v>1</v>
      </c>
      <c r="Q35" s="5"/>
      <c r="R35" s="5"/>
      <c r="S35" s="5"/>
      <c r="T35" s="5"/>
      <c r="U35" s="5"/>
      <c r="V35" s="5"/>
      <c r="W35" s="5"/>
      <c r="X35" s="5"/>
      <c r="Y35" s="5"/>
      <c r="Z35" s="5"/>
    </row>
    <row r="36" customFormat="false" ht="35.05" hidden="false" customHeight="false" outlineLevel="0" collapsed="false">
      <c r="A36" s="5" t="n">
        <v>35</v>
      </c>
      <c r="B36" s="5" t="s">
        <v>132</v>
      </c>
      <c r="C36" s="5" t="n">
        <v>0</v>
      </c>
      <c r="D36" s="5" t="n">
        <v>0</v>
      </c>
      <c r="E36" s="5" t="n">
        <v>0</v>
      </c>
      <c r="F36" s="5" t="n">
        <v>0</v>
      </c>
      <c r="G36" s="5" t="n">
        <v>0</v>
      </c>
      <c r="H36" s="5" t="n">
        <v>0</v>
      </c>
      <c r="I36" s="5" t="n">
        <v>0</v>
      </c>
      <c r="J36" s="5" t="n">
        <v>0</v>
      </c>
      <c r="K36" s="5" t="n">
        <v>0</v>
      </c>
      <c r="L36" s="5"/>
      <c r="M36" s="5"/>
      <c r="N36" s="5" t="s">
        <v>1046</v>
      </c>
      <c r="O36" s="5" t="s">
        <v>52</v>
      </c>
      <c r="P36" s="5" t="n">
        <v>1</v>
      </c>
      <c r="Q36" s="5"/>
      <c r="R36" s="5"/>
      <c r="S36" s="5"/>
      <c r="T36" s="5"/>
      <c r="U36" s="5"/>
      <c r="V36" s="5"/>
      <c r="W36" s="5"/>
      <c r="X36" s="5"/>
      <c r="Y36" s="5"/>
      <c r="Z36" s="5"/>
    </row>
    <row r="37" customFormat="false" ht="35.05" hidden="false" customHeight="false" outlineLevel="0" collapsed="false">
      <c r="A37" s="5" t="n">
        <v>36</v>
      </c>
      <c r="B37" s="5" t="s">
        <v>134</v>
      </c>
      <c r="C37" s="5" t="n">
        <v>1</v>
      </c>
      <c r="D37" s="5" t="n">
        <v>0</v>
      </c>
      <c r="E37" s="5" t="n">
        <v>0</v>
      </c>
      <c r="F37" s="5" t="n">
        <v>0</v>
      </c>
      <c r="G37" s="5" t="n">
        <v>0</v>
      </c>
      <c r="H37" s="5" t="n">
        <v>0</v>
      </c>
      <c r="I37" s="5" t="n">
        <v>0</v>
      </c>
      <c r="J37" s="5" t="n">
        <v>0</v>
      </c>
      <c r="K37" s="5" t="n">
        <v>0</v>
      </c>
      <c r="L37" s="5" t="s">
        <v>1050</v>
      </c>
      <c r="M37" s="5" t="s">
        <v>1040</v>
      </c>
      <c r="N37" s="5" t="s">
        <v>1041</v>
      </c>
      <c r="O37" s="5" t="s">
        <v>52</v>
      </c>
      <c r="P37" s="5" t="n">
        <v>0</v>
      </c>
      <c r="Q37" s="5"/>
      <c r="R37" s="5"/>
      <c r="S37" s="5"/>
      <c r="T37" s="5"/>
      <c r="U37" s="5"/>
      <c r="V37" s="5"/>
      <c r="W37" s="5"/>
      <c r="X37" s="5"/>
      <c r="Y37" s="5"/>
      <c r="Z37" s="5"/>
    </row>
    <row r="38" customFormat="false" ht="23.85" hidden="false" customHeight="false" outlineLevel="0" collapsed="false">
      <c r="A38" s="5" t="n">
        <v>37</v>
      </c>
      <c r="B38" s="5" t="s">
        <v>944</v>
      </c>
      <c r="C38" s="5" t="n">
        <v>1</v>
      </c>
      <c r="D38" s="5" t="n">
        <v>0</v>
      </c>
      <c r="E38" s="5" t="n">
        <v>0</v>
      </c>
      <c r="F38" s="5" t="n">
        <v>0</v>
      </c>
      <c r="G38" s="5" t="n">
        <v>0</v>
      </c>
      <c r="H38" s="5" t="n">
        <v>0</v>
      </c>
      <c r="I38" s="5" t="n">
        <v>0</v>
      </c>
      <c r="J38" s="5" t="n">
        <v>0</v>
      </c>
      <c r="K38" s="5" t="n">
        <v>0</v>
      </c>
      <c r="L38" s="5"/>
      <c r="M38" s="5"/>
      <c r="N38" s="5" t="s">
        <v>1041</v>
      </c>
      <c r="O38" s="5" t="s">
        <v>52</v>
      </c>
      <c r="P38" s="5" t="n">
        <v>0</v>
      </c>
      <c r="Q38" s="5"/>
      <c r="R38" s="5"/>
      <c r="S38" s="5"/>
      <c r="T38" s="5"/>
      <c r="U38" s="5"/>
      <c r="V38" s="5"/>
      <c r="W38" s="5"/>
      <c r="X38" s="5"/>
      <c r="Y38" s="5"/>
      <c r="Z38" s="5"/>
    </row>
    <row r="39" customFormat="false" ht="23.85" hidden="false" customHeight="false" outlineLevel="0" collapsed="false">
      <c r="A39" s="5" t="n">
        <v>38</v>
      </c>
      <c r="B39" s="5" t="s">
        <v>947</v>
      </c>
      <c r="C39" s="5" t="n">
        <v>0</v>
      </c>
      <c r="D39" s="5" t="n">
        <v>1</v>
      </c>
      <c r="E39" s="5" t="n">
        <v>0</v>
      </c>
      <c r="F39" s="5" t="n">
        <v>0</v>
      </c>
      <c r="G39" s="5" t="n">
        <v>0</v>
      </c>
      <c r="H39" s="5" t="n">
        <v>0</v>
      </c>
      <c r="I39" s="5" t="n">
        <v>0</v>
      </c>
      <c r="J39" s="5" t="n">
        <v>0</v>
      </c>
      <c r="K39" s="5" t="n">
        <v>1</v>
      </c>
      <c r="L39" s="5"/>
      <c r="M39" s="5"/>
      <c r="N39" s="5" t="s">
        <v>1044</v>
      </c>
      <c r="O39" s="5" t="s">
        <v>52</v>
      </c>
      <c r="P39" s="5" t="n">
        <v>0</v>
      </c>
      <c r="Q39" s="5"/>
      <c r="R39" s="5"/>
      <c r="S39" s="5"/>
      <c r="T39" s="5"/>
      <c r="U39" s="5"/>
      <c r="V39" s="5"/>
      <c r="W39" s="5"/>
      <c r="X39" s="5"/>
      <c r="Y39" s="5"/>
      <c r="Z39" s="5"/>
    </row>
    <row r="40" customFormat="false" ht="23.85" hidden="false" customHeight="false" outlineLevel="0" collapsed="false">
      <c r="A40" s="5" t="n">
        <v>39</v>
      </c>
      <c r="B40" s="5" t="s">
        <v>949</v>
      </c>
      <c r="C40" s="5" t="n">
        <v>1</v>
      </c>
      <c r="D40" s="5" t="n">
        <v>0</v>
      </c>
      <c r="E40" s="5" t="n">
        <v>0</v>
      </c>
      <c r="F40" s="5" t="n">
        <v>0</v>
      </c>
      <c r="G40" s="5" t="n">
        <v>0</v>
      </c>
      <c r="H40" s="5" t="n">
        <v>0</v>
      </c>
      <c r="I40" s="5" t="n">
        <v>0</v>
      </c>
      <c r="J40" s="5" t="n">
        <v>0</v>
      </c>
      <c r="K40" s="5" t="n">
        <v>0</v>
      </c>
      <c r="L40" s="5" t="s">
        <v>1040</v>
      </c>
      <c r="M40" s="5" t="s">
        <v>1040</v>
      </c>
      <c r="N40" s="5" t="s">
        <v>1041</v>
      </c>
      <c r="O40" s="5" t="s">
        <v>52</v>
      </c>
      <c r="P40" s="5" t="n">
        <v>0</v>
      </c>
      <c r="Q40" s="5"/>
      <c r="R40" s="5"/>
      <c r="S40" s="5"/>
      <c r="T40" s="5"/>
      <c r="U40" s="5"/>
      <c r="V40" s="5"/>
      <c r="W40" s="5"/>
      <c r="X40" s="5"/>
      <c r="Y40" s="5"/>
      <c r="Z40" s="5"/>
    </row>
    <row r="41" customFormat="false" ht="23.85" hidden="false" customHeight="false" outlineLevel="0" collapsed="false">
      <c r="A41" s="5" t="n">
        <v>40</v>
      </c>
      <c r="B41" s="5" t="s">
        <v>952</v>
      </c>
      <c r="C41" s="5" t="n">
        <v>1</v>
      </c>
      <c r="D41" s="5" t="n">
        <v>0</v>
      </c>
      <c r="E41" s="5" t="n">
        <v>0</v>
      </c>
      <c r="F41" s="5" t="n">
        <v>0</v>
      </c>
      <c r="G41" s="5" t="n">
        <v>0</v>
      </c>
      <c r="H41" s="5" t="n">
        <v>0</v>
      </c>
      <c r="I41" s="5" t="n">
        <v>0</v>
      </c>
      <c r="J41" s="5" t="n">
        <v>0</v>
      </c>
      <c r="K41" s="5" t="n">
        <v>0</v>
      </c>
      <c r="L41" s="5"/>
      <c r="M41" s="5"/>
      <c r="N41" s="5" t="s">
        <v>1041</v>
      </c>
      <c r="O41" s="5" t="s">
        <v>52</v>
      </c>
      <c r="P41" s="5" t="n">
        <v>0</v>
      </c>
      <c r="Q41" s="5"/>
      <c r="R41" s="5"/>
      <c r="S41" s="5"/>
      <c r="T41" s="5"/>
      <c r="U41" s="5"/>
      <c r="V41" s="5"/>
      <c r="W41" s="5"/>
      <c r="X41" s="5"/>
      <c r="Y41" s="5"/>
      <c r="Z41" s="5"/>
    </row>
    <row r="42" customFormat="false" ht="23.85" hidden="false" customHeight="false" outlineLevel="0" collapsed="false">
      <c r="A42" s="5" t="n">
        <v>41</v>
      </c>
      <c r="B42" s="5" t="s">
        <v>956</v>
      </c>
      <c r="C42" s="5" t="n">
        <v>0</v>
      </c>
      <c r="D42" s="5" t="n">
        <v>1</v>
      </c>
      <c r="E42" s="5" t="n">
        <v>0</v>
      </c>
      <c r="F42" s="5" t="n">
        <v>0</v>
      </c>
      <c r="G42" s="5" t="n">
        <v>0</v>
      </c>
      <c r="H42" s="5" t="n">
        <v>0</v>
      </c>
      <c r="I42" s="5" t="n">
        <v>0</v>
      </c>
      <c r="J42" s="5" t="n">
        <v>0</v>
      </c>
      <c r="K42" s="5" t="n">
        <v>1</v>
      </c>
      <c r="L42" s="5"/>
      <c r="M42" s="5"/>
      <c r="N42" s="5" t="s">
        <v>1044</v>
      </c>
      <c r="O42" s="5" t="s">
        <v>52</v>
      </c>
      <c r="P42" s="5" t="n">
        <v>0</v>
      </c>
      <c r="Q42" s="5"/>
      <c r="R42" s="5"/>
      <c r="S42" s="5"/>
      <c r="T42" s="5"/>
      <c r="U42" s="5"/>
      <c r="V42" s="5"/>
      <c r="W42" s="5"/>
      <c r="X42" s="5"/>
      <c r="Y42" s="5"/>
      <c r="Z42" s="5"/>
    </row>
    <row r="43" customFormat="false" ht="35.05" hidden="false" customHeight="false" outlineLevel="0" collapsed="false">
      <c r="A43" s="5" t="n">
        <v>42</v>
      </c>
      <c r="B43" s="5" t="s">
        <v>959</v>
      </c>
      <c r="C43" s="5" t="n">
        <v>0</v>
      </c>
      <c r="D43" s="5" t="n">
        <v>0</v>
      </c>
      <c r="E43" s="5" t="n">
        <v>0</v>
      </c>
      <c r="F43" s="5" t="n">
        <v>0</v>
      </c>
      <c r="G43" s="5" t="n">
        <v>1</v>
      </c>
      <c r="H43" s="5" t="n">
        <v>1</v>
      </c>
      <c r="I43" s="5" t="n">
        <v>1</v>
      </c>
      <c r="J43" s="5" t="n">
        <v>1</v>
      </c>
      <c r="K43" s="5" t="n">
        <v>0</v>
      </c>
      <c r="L43" s="5"/>
      <c r="M43" s="5"/>
      <c r="N43" s="5" t="s">
        <v>1046</v>
      </c>
      <c r="O43" s="5" t="s">
        <v>52</v>
      </c>
      <c r="P43" s="5" t="n">
        <v>1</v>
      </c>
      <c r="Q43" s="5"/>
      <c r="R43" s="5"/>
      <c r="S43" s="5"/>
      <c r="T43" s="5"/>
      <c r="U43" s="5"/>
      <c r="V43" s="5"/>
      <c r="W43" s="5"/>
      <c r="X43" s="5"/>
      <c r="Y43" s="5"/>
      <c r="Z43" s="5"/>
    </row>
    <row r="44" customFormat="false" ht="23.85" hidden="false" customHeight="false" outlineLevel="0" collapsed="false">
      <c r="A44" s="5" t="n">
        <v>43</v>
      </c>
      <c r="B44" s="5" t="s">
        <v>962</v>
      </c>
      <c r="C44" s="5" t="n">
        <v>0</v>
      </c>
      <c r="D44" s="5" t="n">
        <v>1</v>
      </c>
      <c r="E44" s="5" t="n">
        <v>0</v>
      </c>
      <c r="F44" s="5" t="n">
        <v>0</v>
      </c>
      <c r="G44" s="5" t="n">
        <v>0</v>
      </c>
      <c r="H44" s="5" t="n">
        <v>0</v>
      </c>
      <c r="I44" s="5" t="n">
        <v>0</v>
      </c>
      <c r="J44" s="5" t="n">
        <v>0</v>
      </c>
      <c r="K44" s="5" t="n">
        <v>1</v>
      </c>
      <c r="L44" s="5"/>
      <c r="M44" s="5"/>
      <c r="N44" s="5" t="s">
        <v>1044</v>
      </c>
      <c r="O44" s="5" t="s">
        <v>52</v>
      </c>
      <c r="P44" s="5" t="n">
        <v>0</v>
      </c>
      <c r="Q44" s="5"/>
      <c r="R44" s="5"/>
      <c r="S44" s="5"/>
      <c r="T44" s="5"/>
      <c r="U44" s="5"/>
      <c r="V44" s="5"/>
      <c r="W44" s="5"/>
      <c r="X44" s="5"/>
      <c r="Y44" s="5"/>
      <c r="Z44" s="5"/>
    </row>
    <row r="45" customFormat="false" ht="35.05" hidden="false" customHeight="false" outlineLevel="0" collapsed="false">
      <c r="A45" s="5" t="n">
        <v>44</v>
      </c>
      <c r="B45" s="5" t="s">
        <v>965</v>
      </c>
      <c r="C45" s="5" t="n">
        <v>0</v>
      </c>
      <c r="D45" s="5" t="n">
        <v>0</v>
      </c>
      <c r="E45" s="5" t="n">
        <v>0</v>
      </c>
      <c r="F45" s="5" t="n">
        <v>1</v>
      </c>
      <c r="G45" s="5" t="n">
        <v>1</v>
      </c>
      <c r="H45" s="5" t="n">
        <v>0</v>
      </c>
      <c r="I45" s="5" t="n">
        <v>0</v>
      </c>
      <c r="J45" s="5" t="n">
        <v>0</v>
      </c>
      <c r="K45" s="5" t="n">
        <v>0</v>
      </c>
      <c r="L45" s="5"/>
      <c r="M45" s="5"/>
      <c r="N45" s="5" t="s">
        <v>1046</v>
      </c>
      <c r="O45" s="5" t="s">
        <v>52</v>
      </c>
      <c r="P45" s="5" t="n">
        <v>1</v>
      </c>
      <c r="Q45" s="5"/>
      <c r="R45" s="5"/>
      <c r="S45" s="5"/>
      <c r="T45" s="5"/>
      <c r="U45" s="5"/>
      <c r="V45" s="5"/>
      <c r="W45" s="5"/>
      <c r="X45" s="5"/>
      <c r="Y45" s="5"/>
      <c r="Z45" s="5"/>
    </row>
    <row r="46" customFormat="false" ht="35.05" hidden="false" customHeight="false" outlineLevel="0" collapsed="false">
      <c r="A46" s="5" t="n">
        <v>45</v>
      </c>
      <c r="B46" s="5" t="s">
        <v>968</v>
      </c>
      <c r="C46" s="5" t="n">
        <v>0</v>
      </c>
      <c r="D46" s="5" t="n">
        <v>0</v>
      </c>
      <c r="E46" s="5" t="n">
        <v>0</v>
      </c>
      <c r="F46" s="5" t="n">
        <v>0</v>
      </c>
      <c r="G46" s="5" t="n">
        <v>0</v>
      </c>
      <c r="H46" s="5" t="n">
        <v>0</v>
      </c>
      <c r="I46" s="5" t="n">
        <v>0</v>
      </c>
      <c r="J46" s="5" t="n">
        <v>0</v>
      </c>
      <c r="K46" s="5" t="n">
        <v>0</v>
      </c>
      <c r="L46" s="5"/>
      <c r="M46" s="5"/>
      <c r="N46" s="5" t="s">
        <v>1046</v>
      </c>
      <c r="O46" s="5" t="s">
        <v>52</v>
      </c>
      <c r="P46" s="5" t="n">
        <v>1</v>
      </c>
      <c r="Q46" s="5"/>
      <c r="R46" s="5"/>
      <c r="S46" s="5"/>
      <c r="T46" s="5"/>
      <c r="U46" s="5"/>
      <c r="V46" s="5"/>
      <c r="W46" s="5"/>
      <c r="X46" s="5"/>
      <c r="Y46" s="5"/>
      <c r="Z46" s="5"/>
    </row>
    <row r="47" customFormat="false" ht="23.85" hidden="false" customHeight="false" outlineLevel="0" collapsed="false">
      <c r="A47" s="5" t="n">
        <v>46</v>
      </c>
      <c r="B47" s="5" t="s">
        <v>970</v>
      </c>
      <c r="C47" s="5" t="n">
        <v>1</v>
      </c>
      <c r="D47" s="5" t="n">
        <v>1</v>
      </c>
      <c r="E47" s="5" t="n">
        <v>0</v>
      </c>
      <c r="F47" s="5" t="n">
        <v>0</v>
      </c>
      <c r="G47" s="5" t="n">
        <v>0</v>
      </c>
      <c r="H47" s="5" t="n">
        <v>0</v>
      </c>
      <c r="I47" s="5" t="n">
        <v>0</v>
      </c>
      <c r="J47" s="5" t="n">
        <v>0</v>
      </c>
      <c r="K47" s="5" t="n">
        <v>0</v>
      </c>
      <c r="L47" s="5"/>
      <c r="M47" s="5"/>
      <c r="N47" s="5" t="s">
        <v>1041</v>
      </c>
      <c r="O47" s="5" t="s">
        <v>52</v>
      </c>
      <c r="P47" s="5" t="n">
        <v>0</v>
      </c>
      <c r="Q47" s="5"/>
      <c r="R47" s="5"/>
      <c r="S47" s="5"/>
      <c r="T47" s="5"/>
      <c r="U47" s="5"/>
      <c r="V47" s="5"/>
      <c r="W47" s="5"/>
      <c r="X47" s="5"/>
      <c r="Y47" s="5"/>
      <c r="Z47" s="5"/>
    </row>
    <row r="48" customFormat="false" ht="23.85" hidden="false" customHeight="false" outlineLevel="0" collapsed="false">
      <c r="A48" s="5" t="n">
        <v>47</v>
      </c>
      <c r="B48" s="5" t="s">
        <v>973</v>
      </c>
      <c r="C48" s="5" t="n">
        <v>1</v>
      </c>
      <c r="D48" s="5" t="n">
        <v>1</v>
      </c>
      <c r="E48" s="5" t="n">
        <v>0</v>
      </c>
      <c r="F48" s="5" t="n">
        <v>0</v>
      </c>
      <c r="G48" s="5" t="n">
        <v>0</v>
      </c>
      <c r="H48" s="5" t="n">
        <v>0</v>
      </c>
      <c r="I48" s="5" t="n">
        <v>0</v>
      </c>
      <c r="J48" s="5" t="n">
        <v>0</v>
      </c>
      <c r="K48" s="5" t="n">
        <v>0</v>
      </c>
      <c r="L48" s="5"/>
      <c r="M48" s="5"/>
      <c r="N48" s="5" t="s">
        <v>1041</v>
      </c>
      <c r="O48" s="5" t="s">
        <v>52</v>
      </c>
      <c r="P48" s="5" t="n">
        <v>1</v>
      </c>
      <c r="Q48" s="5"/>
      <c r="R48" s="5"/>
      <c r="S48" s="5"/>
      <c r="T48" s="5"/>
      <c r="U48" s="5"/>
      <c r="V48" s="5"/>
      <c r="W48" s="5"/>
      <c r="X48" s="5"/>
      <c r="Y48" s="5"/>
      <c r="Z48" s="5"/>
    </row>
    <row r="49" customFormat="false" ht="23.85" hidden="false" customHeight="false" outlineLevel="0" collapsed="false">
      <c r="A49" s="5" t="n">
        <v>48</v>
      </c>
      <c r="B49" s="5" t="s">
        <v>976</v>
      </c>
      <c r="C49" s="5" t="n">
        <v>1</v>
      </c>
      <c r="D49" s="5" t="n">
        <v>1</v>
      </c>
      <c r="E49" s="5" t="n">
        <v>0</v>
      </c>
      <c r="F49" s="5" t="n">
        <v>0</v>
      </c>
      <c r="G49" s="5" t="n">
        <v>1</v>
      </c>
      <c r="H49" s="5" t="n">
        <v>1</v>
      </c>
      <c r="I49" s="5" t="n">
        <v>0</v>
      </c>
      <c r="J49" s="5" t="n">
        <v>0</v>
      </c>
      <c r="K49" s="5" t="n">
        <v>0</v>
      </c>
      <c r="L49" s="5"/>
      <c r="M49" s="5"/>
      <c r="N49" s="5" t="s">
        <v>1041</v>
      </c>
      <c r="O49" s="5" t="s">
        <v>52</v>
      </c>
      <c r="P49" s="5" t="n">
        <v>0</v>
      </c>
      <c r="Q49" s="5"/>
      <c r="R49" s="5"/>
      <c r="S49" s="5"/>
      <c r="T49" s="5"/>
      <c r="U49" s="5"/>
      <c r="V49" s="5"/>
      <c r="W49" s="5"/>
      <c r="X49" s="5"/>
      <c r="Y49" s="5"/>
      <c r="Z49" s="5"/>
    </row>
    <row r="50" customFormat="false" ht="23.85" hidden="false" customHeight="false" outlineLevel="0" collapsed="false">
      <c r="A50" s="5" t="n">
        <v>49</v>
      </c>
      <c r="B50" s="5" t="s">
        <v>979</v>
      </c>
      <c r="C50" s="5" t="n">
        <v>1</v>
      </c>
      <c r="D50" s="5" t="n">
        <v>0</v>
      </c>
      <c r="E50" s="5" t="n">
        <v>0</v>
      </c>
      <c r="F50" s="5" t="n">
        <v>0</v>
      </c>
      <c r="G50" s="5" t="n">
        <v>0</v>
      </c>
      <c r="H50" s="5" t="n">
        <v>0</v>
      </c>
      <c r="I50" s="5" t="n">
        <v>0</v>
      </c>
      <c r="J50" s="5" t="n">
        <v>0</v>
      </c>
      <c r="K50" s="5" t="n">
        <v>0</v>
      </c>
      <c r="L50" s="5"/>
      <c r="M50" s="5"/>
      <c r="N50" s="5" t="s">
        <v>1041</v>
      </c>
      <c r="O50" s="5" t="s">
        <v>52</v>
      </c>
      <c r="P50" s="5" t="n">
        <v>0</v>
      </c>
      <c r="Q50" s="5"/>
      <c r="R50" s="5"/>
      <c r="S50" s="5"/>
      <c r="T50" s="5"/>
      <c r="U50" s="5"/>
      <c r="V50" s="5"/>
      <c r="W50" s="5"/>
      <c r="X50" s="5"/>
      <c r="Y50" s="5"/>
      <c r="Z50" s="5"/>
    </row>
    <row r="51" customFormat="false" ht="23.85" hidden="false" customHeight="false" outlineLevel="0" collapsed="false">
      <c r="A51" s="5" t="n">
        <v>50</v>
      </c>
      <c r="B51" s="5" t="s">
        <v>981</v>
      </c>
      <c r="C51" s="5" t="n">
        <v>1</v>
      </c>
      <c r="D51" s="5" t="n">
        <v>1</v>
      </c>
      <c r="E51" s="5" t="n">
        <v>0</v>
      </c>
      <c r="F51" s="5" t="n">
        <v>0</v>
      </c>
      <c r="G51" s="5" t="n">
        <v>0</v>
      </c>
      <c r="H51" s="5" t="n">
        <v>0</v>
      </c>
      <c r="I51" s="5" t="n">
        <v>0</v>
      </c>
      <c r="J51" s="5" t="n">
        <v>0</v>
      </c>
      <c r="K51" s="5" t="n">
        <v>0</v>
      </c>
      <c r="L51" s="5"/>
      <c r="M51" s="5"/>
      <c r="N51" s="5" t="s">
        <v>1041</v>
      </c>
      <c r="O51" s="5" t="s">
        <v>52</v>
      </c>
      <c r="P51" s="5" t="n">
        <v>0</v>
      </c>
      <c r="Q51" s="5"/>
      <c r="R51" s="5"/>
      <c r="S51" s="5"/>
      <c r="T51" s="5"/>
      <c r="U51" s="5"/>
      <c r="V51" s="5"/>
      <c r="W51" s="5"/>
      <c r="X51" s="5"/>
      <c r="Y51" s="5"/>
      <c r="Z51" s="5"/>
    </row>
    <row r="52" customFormat="false" ht="23.85" hidden="false" customHeight="false" outlineLevel="0" collapsed="false">
      <c r="A52" s="5" t="n">
        <v>51</v>
      </c>
      <c r="B52" s="5" t="s">
        <v>983</v>
      </c>
      <c r="C52" s="5" t="n">
        <v>1</v>
      </c>
      <c r="D52" s="5" t="n">
        <v>0</v>
      </c>
      <c r="E52" s="5" t="n">
        <v>0</v>
      </c>
      <c r="F52" s="5" t="n">
        <v>0</v>
      </c>
      <c r="G52" s="5" t="n">
        <v>0</v>
      </c>
      <c r="H52" s="5" t="n">
        <v>0</v>
      </c>
      <c r="I52" s="5" t="n">
        <v>0</v>
      </c>
      <c r="J52" s="5" t="n">
        <v>0</v>
      </c>
      <c r="K52" s="5" t="n">
        <v>1</v>
      </c>
      <c r="L52" s="5"/>
      <c r="M52" s="5"/>
      <c r="N52" s="5" t="s">
        <v>1041</v>
      </c>
      <c r="O52" s="5" t="s">
        <v>52</v>
      </c>
      <c r="P52" s="5" t="n">
        <v>0</v>
      </c>
      <c r="Q52" s="5"/>
      <c r="R52" s="5"/>
      <c r="S52" s="5"/>
      <c r="T52" s="5"/>
      <c r="U52" s="5"/>
      <c r="V52" s="5"/>
      <c r="W52" s="5"/>
      <c r="X52" s="5"/>
      <c r="Y52" s="5"/>
      <c r="Z52" s="5"/>
    </row>
    <row r="53" customFormat="false" ht="23.85" hidden="false" customHeight="false" outlineLevel="0" collapsed="false">
      <c r="A53" s="5" t="n">
        <v>52</v>
      </c>
      <c r="B53" s="5" t="s">
        <v>986</v>
      </c>
      <c r="C53" s="5" t="n">
        <v>1</v>
      </c>
      <c r="D53" s="5" t="n">
        <v>0</v>
      </c>
      <c r="E53" s="5" t="n">
        <v>0</v>
      </c>
      <c r="F53" s="5" t="n">
        <v>0</v>
      </c>
      <c r="G53" s="5" t="n">
        <v>0</v>
      </c>
      <c r="H53" s="5" t="n">
        <v>0</v>
      </c>
      <c r="I53" s="5" t="n">
        <v>0</v>
      </c>
      <c r="J53" s="5" t="n">
        <v>0</v>
      </c>
      <c r="K53" s="5" t="n">
        <v>0</v>
      </c>
      <c r="L53" s="5"/>
      <c r="M53" s="5"/>
      <c r="N53" s="5" t="s">
        <v>1041</v>
      </c>
      <c r="O53" s="5" t="s">
        <v>52</v>
      </c>
      <c r="P53" s="5" t="n">
        <v>0</v>
      </c>
      <c r="Q53" s="5"/>
      <c r="R53" s="5"/>
      <c r="S53" s="5"/>
      <c r="T53" s="5"/>
      <c r="U53" s="5"/>
      <c r="V53" s="5"/>
      <c r="W53" s="5"/>
      <c r="X53" s="5"/>
      <c r="Y53" s="5"/>
      <c r="Z53" s="5"/>
    </row>
    <row r="54" customFormat="false" ht="23.85" hidden="false" customHeight="false" outlineLevel="0" collapsed="false">
      <c r="A54" s="5" t="n">
        <v>53</v>
      </c>
      <c r="B54" s="5" t="s">
        <v>990</v>
      </c>
      <c r="C54" s="5" t="n">
        <v>1</v>
      </c>
      <c r="D54" s="5" t="n">
        <v>0</v>
      </c>
      <c r="E54" s="5" t="n">
        <v>0</v>
      </c>
      <c r="F54" s="5" t="n">
        <v>0</v>
      </c>
      <c r="G54" s="5" t="n">
        <v>0</v>
      </c>
      <c r="H54" s="5" t="n">
        <v>0</v>
      </c>
      <c r="I54" s="5" t="n">
        <v>0</v>
      </c>
      <c r="J54" s="5" t="n">
        <v>0</v>
      </c>
      <c r="K54" s="5" t="n">
        <v>0</v>
      </c>
      <c r="L54" s="5"/>
      <c r="M54" s="5"/>
      <c r="N54" s="5" t="s">
        <v>1041</v>
      </c>
      <c r="O54" s="5" t="s">
        <v>52</v>
      </c>
      <c r="P54" s="5" t="n">
        <v>0</v>
      </c>
      <c r="Q54" s="5"/>
      <c r="R54" s="5"/>
      <c r="S54" s="5"/>
      <c r="T54" s="5"/>
      <c r="U54" s="5"/>
      <c r="V54" s="5"/>
      <c r="W54" s="5"/>
      <c r="X54" s="5"/>
      <c r="Y54" s="5"/>
      <c r="Z54" s="5"/>
    </row>
    <row r="55" customFormat="false" ht="23.85" hidden="false" customHeight="false" outlineLevel="0" collapsed="false">
      <c r="A55" s="5" t="n">
        <v>54</v>
      </c>
      <c r="B55" s="5" t="s">
        <v>993</v>
      </c>
      <c r="C55" s="5" t="n">
        <v>1</v>
      </c>
      <c r="D55" s="5" t="n">
        <v>1</v>
      </c>
      <c r="E55" s="5" t="n">
        <v>0</v>
      </c>
      <c r="F55" s="5" t="n">
        <v>0</v>
      </c>
      <c r="G55" s="5" t="n">
        <v>0</v>
      </c>
      <c r="H55" s="5" t="n">
        <v>0</v>
      </c>
      <c r="I55" s="5" t="n">
        <v>0</v>
      </c>
      <c r="J55" s="5" t="n">
        <v>0</v>
      </c>
      <c r="K55" s="5" t="n">
        <v>0</v>
      </c>
      <c r="L55" s="5" t="s">
        <v>1040</v>
      </c>
      <c r="M55" s="5" t="s">
        <v>1040</v>
      </c>
      <c r="N55" s="5" t="s">
        <v>1041</v>
      </c>
      <c r="O55" s="5" t="s">
        <v>52</v>
      </c>
      <c r="P55" s="5" t="n">
        <v>0</v>
      </c>
      <c r="Q55" s="5"/>
      <c r="R55" s="5"/>
      <c r="S55" s="5"/>
      <c r="T55" s="5"/>
      <c r="U55" s="5"/>
      <c r="V55" s="5"/>
      <c r="W55" s="5"/>
      <c r="X55" s="5"/>
      <c r="Y55" s="5"/>
      <c r="Z55" s="5"/>
    </row>
    <row r="56" customFormat="false" ht="23.85" hidden="false" customHeight="false" outlineLevel="0" collapsed="false">
      <c r="A56" s="5" t="n">
        <v>55</v>
      </c>
      <c r="B56" s="5" t="s">
        <v>996</v>
      </c>
      <c r="C56" s="5" t="n">
        <v>1</v>
      </c>
      <c r="D56" s="5" t="n">
        <v>1</v>
      </c>
      <c r="E56" s="5" t="n">
        <v>0</v>
      </c>
      <c r="F56" s="5" t="n">
        <v>0</v>
      </c>
      <c r="G56" s="5" t="n">
        <v>0</v>
      </c>
      <c r="H56" s="5" t="n">
        <v>0</v>
      </c>
      <c r="I56" s="5" t="n">
        <v>0</v>
      </c>
      <c r="J56" s="5" t="n">
        <v>0</v>
      </c>
      <c r="K56" s="5" t="n">
        <v>0</v>
      </c>
      <c r="L56" s="5"/>
      <c r="M56" s="5"/>
      <c r="N56" s="5" t="s">
        <v>1041</v>
      </c>
      <c r="O56" s="5" t="s">
        <v>52</v>
      </c>
      <c r="P56" s="5" t="n">
        <v>0</v>
      </c>
      <c r="Q56" s="5"/>
      <c r="R56" s="5"/>
      <c r="S56" s="5"/>
      <c r="T56" s="5"/>
      <c r="U56" s="5"/>
      <c r="V56" s="5"/>
      <c r="W56" s="5"/>
      <c r="X56" s="5"/>
      <c r="Y56" s="5"/>
      <c r="Z56" s="5"/>
    </row>
    <row r="57" customFormat="false" ht="23.85" hidden="false" customHeight="false" outlineLevel="0" collapsed="false">
      <c r="A57" s="5" t="n">
        <v>56</v>
      </c>
      <c r="B57" s="5" t="s">
        <v>175</v>
      </c>
      <c r="C57" s="5" t="n">
        <v>1</v>
      </c>
      <c r="D57" s="5" t="n">
        <v>1</v>
      </c>
      <c r="E57" s="5" t="n">
        <v>0</v>
      </c>
      <c r="F57" s="5" t="n">
        <v>0</v>
      </c>
      <c r="G57" s="5" t="n">
        <v>0</v>
      </c>
      <c r="H57" s="5" t="n">
        <v>0</v>
      </c>
      <c r="I57" s="5" t="n">
        <v>0</v>
      </c>
      <c r="J57" s="5" t="n">
        <v>0</v>
      </c>
      <c r="K57" s="5" t="n">
        <v>0</v>
      </c>
      <c r="L57" s="5"/>
      <c r="M57" s="5"/>
      <c r="N57" s="5" t="s">
        <v>1041</v>
      </c>
      <c r="O57" s="5" t="s">
        <v>52</v>
      </c>
      <c r="P57" s="5" t="n">
        <v>0</v>
      </c>
      <c r="Q57" s="5"/>
      <c r="R57" s="5"/>
      <c r="S57" s="5"/>
      <c r="T57" s="5"/>
      <c r="U57" s="5"/>
      <c r="V57" s="5"/>
      <c r="W57" s="5"/>
      <c r="X57" s="5"/>
      <c r="Y57" s="5"/>
      <c r="Z57" s="5"/>
    </row>
    <row r="58" customFormat="false" ht="23.85" hidden="false" customHeight="false" outlineLevel="0" collapsed="false">
      <c r="A58" s="5" t="n">
        <v>57</v>
      </c>
      <c r="B58" s="5" t="s">
        <v>177</v>
      </c>
      <c r="C58" s="5" t="n">
        <v>0</v>
      </c>
      <c r="D58" s="5" t="n">
        <v>1</v>
      </c>
      <c r="E58" s="5" t="n">
        <v>0</v>
      </c>
      <c r="F58" s="5" t="n">
        <v>0</v>
      </c>
      <c r="G58" s="5" t="n">
        <v>0</v>
      </c>
      <c r="H58" s="5" t="n">
        <v>0</v>
      </c>
      <c r="I58" s="5" t="n">
        <v>0</v>
      </c>
      <c r="J58" s="5" t="n">
        <v>0</v>
      </c>
      <c r="K58" s="5" t="n">
        <v>1</v>
      </c>
      <c r="L58" s="5"/>
      <c r="M58" s="5"/>
      <c r="N58" s="5" t="s">
        <v>1044</v>
      </c>
      <c r="O58" s="5" t="s">
        <v>52</v>
      </c>
      <c r="P58" s="5" t="n">
        <v>0</v>
      </c>
      <c r="Q58" s="5"/>
      <c r="R58" s="5"/>
      <c r="S58" s="5"/>
      <c r="T58" s="5"/>
      <c r="U58" s="5"/>
      <c r="V58" s="5"/>
      <c r="W58" s="5"/>
      <c r="X58" s="5"/>
      <c r="Y58" s="5"/>
      <c r="Z58" s="5"/>
    </row>
    <row r="59" customFormat="false" ht="46.25" hidden="false" customHeight="false" outlineLevel="0" collapsed="false">
      <c r="A59" s="5" t="n">
        <v>58</v>
      </c>
      <c r="B59" s="5" t="s">
        <v>179</v>
      </c>
      <c r="C59" s="5" t="n">
        <v>1</v>
      </c>
      <c r="D59" s="5" t="n">
        <v>0</v>
      </c>
      <c r="E59" s="5" t="n">
        <v>0</v>
      </c>
      <c r="F59" s="5" t="n">
        <v>1</v>
      </c>
      <c r="G59" s="5" t="n">
        <v>1</v>
      </c>
      <c r="H59" s="5" t="n">
        <v>0</v>
      </c>
      <c r="I59" s="5" t="n">
        <v>1</v>
      </c>
      <c r="J59" s="5" t="n">
        <v>1</v>
      </c>
      <c r="K59" s="5" t="n">
        <v>0</v>
      </c>
      <c r="L59" s="5" t="s">
        <v>1051</v>
      </c>
      <c r="M59" s="5" t="s">
        <v>1052</v>
      </c>
      <c r="N59" s="5" t="s">
        <v>1046</v>
      </c>
      <c r="O59" s="5" t="s">
        <v>52</v>
      </c>
      <c r="P59" s="5" t="n">
        <v>1</v>
      </c>
      <c r="Q59" s="5"/>
      <c r="R59" s="5"/>
      <c r="S59" s="5"/>
      <c r="T59" s="5"/>
      <c r="U59" s="5"/>
      <c r="V59" s="5"/>
      <c r="W59" s="5"/>
      <c r="X59" s="5"/>
      <c r="Y59" s="5"/>
      <c r="Z59" s="5"/>
    </row>
    <row r="60" customFormat="false" ht="15" hidden="false" customHeight="false" outlineLevel="0" collapsed="false">
      <c r="A60" s="1" t="n">
        <v>59</v>
      </c>
      <c r="B60" s="1" t="s">
        <v>181</v>
      </c>
      <c r="C60" s="1" t="n">
        <v>0</v>
      </c>
      <c r="D60" s="1" t="n">
        <v>1</v>
      </c>
      <c r="E60" s="1" t="n">
        <v>0</v>
      </c>
      <c r="F60" s="1" t="n">
        <v>0</v>
      </c>
      <c r="G60" s="1" t="n">
        <v>1</v>
      </c>
      <c r="H60" s="1" t="n">
        <v>1</v>
      </c>
      <c r="I60" s="1" t="n">
        <v>0</v>
      </c>
      <c r="J60" s="1" t="n">
        <v>0</v>
      </c>
      <c r="K60" s="1" t="n">
        <v>0</v>
      </c>
      <c r="L60" s="1" t="s">
        <v>1053</v>
      </c>
      <c r="M60" s="1" t="s">
        <v>1054</v>
      </c>
      <c r="N60" s="1" t="s">
        <v>1055</v>
      </c>
      <c r="O60" s="1" t="s">
        <v>52</v>
      </c>
      <c r="P60" s="1" t="n">
        <v>1</v>
      </c>
    </row>
  </sheetData>
  <conditionalFormatting sqref="C2:AZ59">
    <cfRule type="expression" priority="2" aboveAverage="0" equalAverage="0" bottom="0" percent="0" rank="0" text="" dxfId="13">
      <formula>C2=1</formula>
    </cfRule>
    <cfRule type="expression" priority="3" aboveAverage="0" equalAverage="0" bottom="0" percent="0" rank="0" text="" dxfId="14">
      <formula>C2=0</formula>
    </cfRule>
  </conditionalFormatting>
  <conditionalFormatting sqref="P2:P59">
    <cfRule type="expression" priority="4" aboveAverage="0" equalAverage="0" bottom="0" percent="0" rank="0" text="" dxfId="15">
      <formula>P2=1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26" min="3" style="1" width="18"/>
  </cols>
  <sheetData>
    <row r="1" customFormat="false" ht="34" hidden="false" customHeight="true" outlineLevel="0" collapsed="false">
      <c r="A1" s="6" t="s">
        <v>805</v>
      </c>
      <c r="B1" s="5" t="s">
        <v>1012</v>
      </c>
      <c r="C1" s="5" t="s">
        <v>1056</v>
      </c>
      <c r="D1" s="5" t="s">
        <v>1057</v>
      </c>
      <c r="E1" s="5" t="s">
        <v>1014</v>
      </c>
      <c r="F1" s="5" t="s">
        <v>1058</v>
      </c>
      <c r="G1" s="5" t="s">
        <v>1059</v>
      </c>
      <c r="H1" s="5" t="s">
        <v>1060</v>
      </c>
      <c r="I1" s="5" t="s">
        <v>1061</v>
      </c>
      <c r="J1" s="5" t="s">
        <v>1062</v>
      </c>
      <c r="K1" s="5" t="s">
        <v>1063</v>
      </c>
      <c r="L1" s="5" t="s">
        <v>1064</v>
      </c>
      <c r="M1" s="5" t="s">
        <v>1065</v>
      </c>
      <c r="N1" s="5" t="s">
        <v>1066</v>
      </c>
      <c r="O1" s="5" t="s">
        <v>1067</v>
      </c>
      <c r="P1" s="5"/>
      <c r="Q1" s="5"/>
      <c r="R1" s="5"/>
      <c r="S1" s="5"/>
      <c r="T1" s="5"/>
      <c r="U1" s="5"/>
      <c r="V1" s="5"/>
      <c r="W1" s="5"/>
      <c r="X1" s="5"/>
      <c r="Y1" s="5"/>
      <c r="Z1" s="5"/>
    </row>
    <row r="2" customFormat="false" ht="23.85" hidden="false" customHeight="false" outlineLevel="0" collapsed="false">
      <c r="A2" s="5" t="n">
        <v>1</v>
      </c>
      <c r="B2" s="5" t="s">
        <v>819</v>
      </c>
      <c r="C2" s="5" t="n">
        <v>0</v>
      </c>
      <c r="D2" s="5" t="n">
        <v>1</v>
      </c>
      <c r="E2" s="5" t="n">
        <v>1</v>
      </c>
      <c r="F2" s="5" t="n">
        <v>1</v>
      </c>
      <c r="G2" s="5" t="n">
        <v>0</v>
      </c>
      <c r="H2" s="5" t="n">
        <v>0</v>
      </c>
      <c r="I2" s="5" t="n">
        <v>0</v>
      </c>
      <c r="J2" s="5" t="n">
        <v>0</v>
      </c>
      <c r="K2" s="5"/>
      <c r="L2" s="5"/>
      <c r="M2" s="5"/>
      <c r="N2" s="5"/>
      <c r="O2" s="5" t="s">
        <v>11</v>
      </c>
      <c r="P2" s="5"/>
      <c r="Q2" s="5"/>
      <c r="R2" s="5"/>
      <c r="S2" s="5"/>
      <c r="T2" s="5"/>
      <c r="U2" s="5"/>
      <c r="V2" s="5"/>
      <c r="W2" s="5"/>
      <c r="X2" s="5"/>
      <c r="Y2" s="5"/>
      <c r="Z2" s="5"/>
    </row>
    <row r="3" customFormat="false" ht="23.85" hidden="false" customHeight="false" outlineLevel="0" collapsed="false">
      <c r="A3" s="5" t="n">
        <v>2</v>
      </c>
      <c r="B3" s="5" t="s">
        <v>824</v>
      </c>
      <c r="C3" s="5" t="n">
        <v>0</v>
      </c>
      <c r="D3" s="5" t="n">
        <v>0</v>
      </c>
      <c r="E3" s="5" t="n">
        <v>1</v>
      </c>
      <c r="F3" s="5" t="n">
        <v>1</v>
      </c>
      <c r="G3" s="5" t="n">
        <v>0</v>
      </c>
      <c r="H3" s="5" t="n">
        <v>0</v>
      </c>
      <c r="I3" s="5" t="n">
        <v>0</v>
      </c>
      <c r="J3" s="5" t="n">
        <v>1</v>
      </c>
      <c r="K3" s="5"/>
      <c r="L3" s="5"/>
      <c r="M3" s="5"/>
      <c r="N3" s="5"/>
      <c r="O3" s="5" t="s">
        <v>11</v>
      </c>
      <c r="P3" s="5"/>
      <c r="Q3" s="5"/>
      <c r="R3" s="5"/>
      <c r="S3" s="5"/>
      <c r="T3" s="5"/>
      <c r="U3" s="5"/>
      <c r="V3" s="5"/>
      <c r="W3" s="5"/>
      <c r="X3" s="5"/>
      <c r="Y3" s="5"/>
      <c r="Z3" s="5"/>
    </row>
    <row r="4" customFormat="false" ht="23.85" hidden="false" customHeight="false" outlineLevel="0" collapsed="false">
      <c r="A4" s="5" t="n">
        <v>3</v>
      </c>
      <c r="B4" s="5" t="s">
        <v>828</v>
      </c>
      <c r="C4" s="5" t="n">
        <v>0</v>
      </c>
      <c r="D4" s="5" t="n">
        <v>0</v>
      </c>
      <c r="E4" s="5" t="n">
        <v>1</v>
      </c>
      <c r="F4" s="5" t="n">
        <v>0</v>
      </c>
      <c r="G4" s="5" t="n">
        <v>0</v>
      </c>
      <c r="H4" s="5" t="n">
        <v>0</v>
      </c>
      <c r="I4" s="5" t="n">
        <v>1</v>
      </c>
      <c r="J4" s="5" t="n">
        <v>1</v>
      </c>
      <c r="K4" s="5"/>
      <c r="L4" s="5"/>
      <c r="M4" s="5"/>
      <c r="N4" s="5" t="s">
        <v>1068</v>
      </c>
      <c r="O4" s="5" t="s">
        <v>11</v>
      </c>
      <c r="P4" s="5"/>
      <c r="Q4" s="5"/>
      <c r="R4" s="5"/>
      <c r="S4" s="5"/>
      <c r="T4" s="5"/>
      <c r="U4" s="5"/>
      <c r="V4" s="5"/>
      <c r="W4" s="5"/>
      <c r="X4" s="5"/>
      <c r="Y4" s="5"/>
      <c r="Z4" s="5"/>
    </row>
    <row r="5" customFormat="false" ht="23.85" hidden="false" customHeight="false" outlineLevel="0" collapsed="false">
      <c r="A5" s="5" t="n">
        <v>4</v>
      </c>
      <c r="B5" s="5" t="s">
        <v>58</v>
      </c>
      <c r="C5" s="5" t="n">
        <v>0</v>
      </c>
      <c r="D5" s="5" t="n">
        <v>0</v>
      </c>
      <c r="E5" s="5" t="n">
        <v>1</v>
      </c>
      <c r="F5" s="5" t="n">
        <v>1</v>
      </c>
      <c r="G5" s="5" t="n">
        <v>0</v>
      </c>
      <c r="H5" s="5" t="n">
        <v>0</v>
      </c>
      <c r="I5" s="5" t="n">
        <v>0</v>
      </c>
      <c r="J5" s="5" t="n">
        <v>1</v>
      </c>
      <c r="K5" s="5"/>
      <c r="L5" s="5"/>
      <c r="M5" s="5"/>
      <c r="N5" s="5"/>
      <c r="O5" s="5" t="s">
        <v>11</v>
      </c>
      <c r="P5" s="5"/>
      <c r="Q5" s="5"/>
      <c r="R5" s="5"/>
      <c r="S5" s="5"/>
      <c r="T5" s="5"/>
      <c r="U5" s="5"/>
      <c r="V5" s="5"/>
      <c r="W5" s="5"/>
      <c r="X5" s="5"/>
      <c r="Y5" s="5"/>
      <c r="Z5" s="5"/>
    </row>
    <row r="6" customFormat="false" ht="23.85" hidden="false" customHeight="false" outlineLevel="0" collapsed="false">
      <c r="A6" s="5" t="n">
        <v>5</v>
      </c>
      <c r="B6" s="5" t="s">
        <v>62</v>
      </c>
      <c r="C6" s="5" t="n">
        <v>0</v>
      </c>
      <c r="D6" s="5" t="n">
        <v>0</v>
      </c>
      <c r="E6" s="5" t="n">
        <v>1</v>
      </c>
      <c r="F6" s="5" t="n">
        <v>0</v>
      </c>
      <c r="G6" s="5" t="n">
        <v>0</v>
      </c>
      <c r="H6" s="5" t="n">
        <v>0</v>
      </c>
      <c r="I6" s="5" t="n">
        <v>0</v>
      </c>
      <c r="J6" s="5" t="n">
        <v>1</v>
      </c>
      <c r="K6" s="5"/>
      <c r="L6" s="5"/>
      <c r="M6" s="5"/>
      <c r="N6" s="5"/>
      <c r="O6" s="5" t="s">
        <v>17</v>
      </c>
      <c r="P6" s="5"/>
      <c r="Q6" s="5"/>
      <c r="R6" s="5"/>
      <c r="S6" s="5"/>
      <c r="T6" s="5"/>
      <c r="U6" s="5"/>
      <c r="V6" s="5"/>
      <c r="W6" s="5"/>
      <c r="X6" s="5"/>
      <c r="Y6" s="5"/>
      <c r="Z6" s="5"/>
    </row>
    <row r="7" customFormat="false" ht="23.85" hidden="false" customHeight="false" outlineLevel="0" collapsed="false">
      <c r="A7" s="5" t="n">
        <v>6</v>
      </c>
      <c r="B7" s="5" t="s">
        <v>839</v>
      </c>
      <c r="C7" s="5" t="n">
        <v>0</v>
      </c>
      <c r="D7" s="5" t="n">
        <v>0</v>
      </c>
      <c r="E7" s="5" t="n">
        <v>1</v>
      </c>
      <c r="F7" s="5" t="n">
        <v>0</v>
      </c>
      <c r="G7" s="5" t="n">
        <v>0</v>
      </c>
      <c r="H7" s="5" t="n">
        <v>0</v>
      </c>
      <c r="I7" s="5" t="n">
        <v>0</v>
      </c>
      <c r="J7" s="5" t="n">
        <v>1</v>
      </c>
      <c r="K7" s="5"/>
      <c r="L7" s="5"/>
      <c r="M7" s="5"/>
      <c r="N7" s="5"/>
      <c r="O7" s="5" t="s">
        <v>17</v>
      </c>
      <c r="P7" s="5"/>
      <c r="Q7" s="5"/>
      <c r="R7" s="5"/>
      <c r="S7" s="5"/>
      <c r="T7" s="5"/>
      <c r="U7" s="5"/>
      <c r="V7" s="5"/>
      <c r="W7" s="5"/>
      <c r="X7" s="5"/>
      <c r="Y7" s="5"/>
      <c r="Z7" s="5"/>
    </row>
    <row r="8" customFormat="false" ht="23.85" hidden="false" customHeight="false" outlineLevel="0" collapsed="false">
      <c r="A8" s="5" t="n">
        <v>7</v>
      </c>
      <c r="B8" s="5" t="s">
        <v>842</v>
      </c>
      <c r="C8" s="5" t="n">
        <v>1</v>
      </c>
      <c r="D8" s="5" t="n">
        <v>0</v>
      </c>
      <c r="E8" s="5" t="n">
        <v>1</v>
      </c>
      <c r="F8" s="5" t="n">
        <v>1</v>
      </c>
      <c r="G8" s="5" t="n">
        <v>0</v>
      </c>
      <c r="H8" s="5" t="n">
        <v>0</v>
      </c>
      <c r="I8" s="5" t="n">
        <v>1</v>
      </c>
      <c r="J8" s="5" t="n">
        <v>1</v>
      </c>
      <c r="K8" s="5"/>
      <c r="L8" s="5"/>
      <c r="M8" s="5"/>
      <c r="N8" s="5"/>
      <c r="O8" s="5" t="s">
        <v>15</v>
      </c>
      <c r="P8" s="5"/>
      <c r="Q8" s="5"/>
      <c r="R8" s="5"/>
      <c r="S8" s="5"/>
      <c r="T8" s="5"/>
      <c r="U8" s="5"/>
      <c r="V8" s="5"/>
      <c r="W8" s="5"/>
      <c r="X8" s="5"/>
      <c r="Y8" s="5"/>
      <c r="Z8" s="5"/>
    </row>
    <row r="9" customFormat="false" ht="23.85" hidden="false" customHeight="false" outlineLevel="0" collapsed="false">
      <c r="A9" s="5" t="n">
        <v>8</v>
      </c>
      <c r="B9" s="5" t="s">
        <v>847</v>
      </c>
      <c r="C9" s="5" t="n">
        <v>0</v>
      </c>
      <c r="D9" s="5" t="n">
        <v>0</v>
      </c>
      <c r="E9" s="5" t="n">
        <v>1</v>
      </c>
      <c r="F9" s="5" t="n">
        <v>0</v>
      </c>
      <c r="G9" s="5" t="n">
        <v>0</v>
      </c>
      <c r="H9" s="5" t="n">
        <v>0</v>
      </c>
      <c r="I9" s="5" t="n">
        <v>0</v>
      </c>
      <c r="J9" s="5" t="n">
        <v>1</v>
      </c>
      <c r="K9" s="5"/>
      <c r="L9" s="5"/>
      <c r="M9" s="5"/>
      <c r="N9" s="5"/>
      <c r="O9" s="5" t="s">
        <v>17</v>
      </c>
      <c r="P9" s="5"/>
      <c r="Q9" s="5"/>
      <c r="R9" s="5"/>
      <c r="S9" s="5"/>
      <c r="T9" s="5"/>
      <c r="U9" s="5"/>
      <c r="V9" s="5"/>
      <c r="W9" s="5"/>
      <c r="X9" s="5"/>
      <c r="Y9" s="5"/>
      <c r="Z9" s="5"/>
    </row>
    <row r="10" customFormat="false" ht="23.85" hidden="false" customHeight="false" outlineLevel="0" collapsed="false">
      <c r="A10" s="5" t="n">
        <v>9</v>
      </c>
      <c r="B10" s="5" t="s">
        <v>852</v>
      </c>
      <c r="C10" s="5" t="n">
        <v>0</v>
      </c>
      <c r="D10" s="5" t="n">
        <v>0</v>
      </c>
      <c r="E10" s="5" t="n">
        <v>1</v>
      </c>
      <c r="F10" s="5" t="n">
        <v>1</v>
      </c>
      <c r="G10" s="5" t="n">
        <v>0</v>
      </c>
      <c r="H10" s="5" t="n">
        <v>0</v>
      </c>
      <c r="I10" s="5" t="n">
        <v>0</v>
      </c>
      <c r="J10" s="5" t="n">
        <v>1</v>
      </c>
      <c r="K10" s="5"/>
      <c r="L10" s="5"/>
      <c r="M10" s="5"/>
      <c r="N10" s="5"/>
      <c r="O10" s="5" t="s">
        <v>17</v>
      </c>
      <c r="P10" s="5"/>
      <c r="Q10" s="5"/>
      <c r="R10" s="5"/>
      <c r="S10" s="5"/>
      <c r="T10" s="5"/>
      <c r="U10" s="5"/>
      <c r="V10" s="5"/>
      <c r="W10" s="5"/>
      <c r="X10" s="5"/>
      <c r="Y10" s="5"/>
      <c r="Z10" s="5"/>
    </row>
    <row r="11" customFormat="false" ht="23.85" hidden="false" customHeight="false" outlineLevel="0" collapsed="false">
      <c r="A11" s="5" t="n">
        <v>10</v>
      </c>
      <c r="B11" s="5" t="s">
        <v>852</v>
      </c>
      <c r="C11" s="5" t="n">
        <v>0</v>
      </c>
      <c r="D11" s="5" t="n">
        <v>0</v>
      </c>
      <c r="E11" s="5" t="n">
        <v>1</v>
      </c>
      <c r="F11" s="5" t="n">
        <v>0</v>
      </c>
      <c r="G11" s="5" t="n">
        <v>0</v>
      </c>
      <c r="H11" s="5" t="n">
        <v>0</v>
      </c>
      <c r="I11" s="5" t="n">
        <v>0</v>
      </c>
      <c r="J11" s="5" t="n">
        <v>1</v>
      </c>
      <c r="K11" s="5"/>
      <c r="L11" s="5"/>
      <c r="M11" s="5"/>
      <c r="N11" s="5"/>
      <c r="O11" s="5" t="s">
        <v>11</v>
      </c>
      <c r="P11" s="5"/>
      <c r="Q11" s="5"/>
      <c r="R11" s="5"/>
      <c r="S11" s="5"/>
      <c r="T11" s="5"/>
      <c r="U11" s="5"/>
      <c r="V11" s="5"/>
      <c r="W11" s="5"/>
      <c r="X11" s="5"/>
      <c r="Y11" s="5"/>
      <c r="Z11" s="5"/>
    </row>
    <row r="12" customFormat="false" ht="23.85" hidden="false" customHeight="false" outlineLevel="0" collapsed="false">
      <c r="A12" s="5" t="n">
        <v>11</v>
      </c>
      <c r="B12" s="5" t="s">
        <v>854</v>
      </c>
      <c r="C12" s="5" t="n">
        <v>0</v>
      </c>
      <c r="D12" s="5" t="n">
        <v>0</v>
      </c>
      <c r="E12" s="5" t="n">
        <v>1</v>
      </c>
      <c r="F12" s="5" t="n">
        <v>0</v>
      </c>
      <c r="G12" s="5" t="n">
        <v>0</v>
      </c>
      <c r="H12" s="5" t="n">
        <v>0</v>
      </c>
      <c r="I12" s="5" t="n">
        <v>0</v>
      </c>
      <c r="J12" s="5" t="n">
        <v>0</v>
      </c>
      <c r="K12" s="5"/>
      <c r="L12" s="5"/>
      <c r="M12" s="5"/>
      <c r="N12" s="5"/>
      <c r="O12" s="5" t="s">
        <v>16</v>
      </c>
      <c r="P12" s="5"/>
      <c r="Q12" s="5"/>
      <c r="R12" s="5"/>
      <c r="S12" s="5"/>
      <c r="T12" s="5"/>
      <c r="U12" s="5"/>
      <c r="V12" s="5"/>
      <c r="W12" s="5"/>
      <c r="X12" s="5"/>
      <c r="Y12" s="5"/>
      <c r="Z12" s="5"/>
    </row>
    <row r="13" customFormat="false" ht="23.85" hidden="false" customHeight="false" outlineLevel="0" collapsed="false">
      <c r="A13" s="5" t="n">
        <v>12</v>
      </c>
      <c r="B13" s="5" t="s">
        <v>857</v>
      </c>
      <c r="C13" s="5" t="n">
        <v>0</v>
      </c>
      <c r="D13" s="5" t="n">
        <v>0</v>
      </c>
      <c r="E13" s="5" t="n">
        <v>1</v>
      </c>
      <c r="F13" s="5" t="n">
        <v>0</v>
      </c>
      <c r="G13" s="5" t="n">
        <v>0</v>
      </c>
      <c r="H13" s="5" t="n">
        <v>0</v>
      </c>
      <c r="I13" s="5" t="n">
        <v>0</v>
      </c>
      <c r="J13" s="5" t="n">
        <v>0</v>
      </c>
      <c r="K13" s="5"/>
      <c r="L13" s="5"/>
      <c r="M13" s="5"/>
      <c r="N13" s="5"/>
      <c r="O13" s="5" t="s">
        <v>16</v>
      </c>
      <c r="P13" s="5"/>
      <c r="Q13" s="5"/>
      <c r="R13" s="5"/>
      <c r="S13" s="5"/>
      <c r="T13" s="5"/>
      <c r="U13" s="5"/>
      <c r="V13" s="5"/>
      <c r="W13" s="5"/>
      <c r="X13" s="5"/>
      <c r="Y13" s="5"/>
      <c r="Z13" s="5"/>
    </row>
    <row r="14" customFormat="false" ht="23.85" hidden="false" customHeight="false" outlineLevel="0" collapsed="false">
      <c r="A14" s="5" t="n">
        <v>13</v>
      </c>
      <c r="B14" s="5" t="s">
        <v>860</v>
      </c>
      <c r="C14" s="5" t="n">
        <v>0</v>
      </c>
      <c r="D14" s="5" t="n">
        <v>0</v>
      </c>
      <c r="E14" s="5" t="n">
        <v>1</v>
      </c>
      <c r="F14" s="5" t="n">
        <v>1</v>
      </c>
      <c r="G14" s="5" t="n">
        <v>0</v>
      </c>
      <c r="H14" s="5" t="n">
        <v>0</v>
      </c>
      <c r="I14" s="5" t="n">
        <v>0</v>
      </c>
      <c r="J14" s="5" t="n">
        <v>1</v>
      </c>
      <c r="K14" s="5"/>
      <c r="L14" s="5"/>
      <c r="M14" s="5"/>
      <c r="N14" s="5"/>
      <c r="O14" s="5" t="s">
        <v>836</v>
      </c>
      <c r="P14" s="5"/>
      <c r="Q14" s="5"/>
      <c r="R14" s="5"/>
      <c r="S14" s="5"/>
      <c r="T14" s="5"/>
      <c r="U14" s="5"/>
      <c r="V14" s="5"/>
      <c r="W14" s="5"/>
      <c r="X14" s="5"/>
      <c r="Y14" s="5"/>
      <c r="Z14" s="5"/>
    </row>
    <row r="15" customFormat="false" ht="23.85" hidden="false" customHeight="false" outlineLevel="0" collapsed="false">
      <c r="A15" s="5" t="n">
        <v>14</v>
      </c>
      <c r="B15" s="5" t="s">
        <v>864</v>
      </c>
      <c r="C15" s="5" t="n">
        <v>0</v>
      </c>
      <c r="D15" s="5" t="n">
        <v>0</v>
      </c>
      <c r="E15" s="5" t="n">
        <v>1</v>
      </c>
      <c r="F15" s="5" t="n">
        <v>0</v>
      </c>
      <c r="G15" s="5" t="n">
        <v>0</v>
      </c>
      <c r="H15" s="5" t="n">
        <v>0</v>
      </c>
      <c r="I15" s="5" t="n">
        <v>0</v>
      </c>
      <c r="J15" s="5" t="n">
        <v>1</v>
      </c>
      <c r="K15" s="5"/>
      <c r="L15" s="5"/>
      <c r="M15" s="5"/>
      <c r="N15" s="5"/>
      <c r="O15" s="5" t="s">
        <v>16</v>
      </c>
      <c r="P15" s="5"/>
      <c r="Q15" s="5"/>
      <c r="R15" s="5"/>
      <c r="S15" s="5"/>
      <c r="T15" s="5"/>
      <c r="U15" s="5"/>
      <c r="V15" s="5"/>
      <c r="W15" s="5"/>
      <c r="X15" s="5"/>
      <c r="Y15" s="5"/>
      <c r="Z15" s="5"/>
    </row>
    <row r="16" customFormat="false" ht="23.85" hidden="false" customHeight="false" outlineLevel="0" collapsed="false">
      <c r="A16" s="5" t="n">
        <v>15</v>
      </c>
      <c r="B16" s="5" t="s">
        <v>88</v>
      </c>
      <c r="C16" s="5" t="n">
        <v>0</v>
      </c>
      <c r="D16" s="5" t="n">
        <v>0</v>
      </c>
      <c r="E16" s="5" t="n">
        <v>1</v>
      </c>
      <c r="F16" s="5" t="n">
        <v>0</v>
      </c>
      <c r="G16" s="5" t="n">
        <v>0</v>
      </c>
      <c r="H16" s="5" t="n">
        <v>0</v>
      </c>
      <c r="I16" s="5" t="n">
        <v>0</v>
      </c>
      <c r="J16" s="5" t="n">
        <v>0</v>
      </c>
      <c r="K16" s="5"/>
      <c r="L16" s="5"/>
      <c r="M16" s="5"/>
      <c r="N16" s="5"/>
      <c r="O16" s="5" t="s">
        <v>10</v>
      </c>
      <c r="P16" s="5"/>
      <c r="Q16" s="5"/>
      <c r="R16" s="5"/>
      <c r="S16" s="5"/>
      <c r="T16" s="5"/>
      <c r="U16" s="5"/>
      <c r="V16" s="5"/>
      <c r="W16" s="5"/>
      <c r="X16" s="5"/>
      <c r="Y16" s="5"/>
      <c r="Z16" s="5"/>
    </row>
    <row r="17" customFormat="false" ht="23.85" hidden="false" customHeight="false" outlineLevel="0" collapsed="false">
      <c r="A17" s="5" t="n">
        <v>16</v>
      </c>
      <c r="B17" s="5" t="s">
        <v>869</v>
      </c>
      <c r="C17" s="5" t="n">
        <v>0</v>
      </c>
      <c r="D17" s="5" t="n">
        <v>0</v>
      </c>
      <c r="E17" s="5" t="n">
        <v>1</v>
      </c>
      <c r="F17" s="5" t="n">
        <v>0</v>
      </c>
      <c r="G17" s="5" t="n">
        <v>0</v>
      </c>
      <c r="H17" s="5" t="n">
        <v>0</v>
      </c>
      <c r="I17" s="5" t="n">
        <v>0</v>
      </c>
      <c r="J17" s="5" t="n">
        <v>1</v>
      </c>
      <c r="K17" s="5" t="s">
        <v>1069</v>
      </c>
      <c r="L17" s="5"/>
      <c r="M17" s="5"/>
      <c r="N17" s="5"/>
      <c r="O17" s="5" t="s">
        <v>16</v>
      </c>
      <c r="P17" s="5"/>
      <c r="Q17" s="5"/>
      <c r="R17" s="5"/>
      <c r="S17" s="5"/>
      <c r="T17" s="5"/>
      <c r="U17" s="5"/>
      <c r="V17" s="5"/>
      <c r="W17" s="5"/>
      <c r="X17" s="5"/>
      <c r="Y17" s="5"/>
      <c r="Z17" s="5"/>
    </row>
    <row r="18" customFormat="false" ht="23.85" hidden="false" customHeight="false" outlineLevel="0" collapsed="false">
      <c r="A18" s="5" t="n">
        <v>17</v>
      </c>
      <c r="B18" s="5" t="s">
        <v>94</v>
      </c>
      <c r="C18" s="5" t="n">
        <v>0</v>
      </c>
      <c r="D18" s="5" t="n">
        <v>0</v>
      </c>
      <c r="E18" s="5" t="n">
        <v>1</v>
      </c>
      <c r="F18" s="5" t="n">
        <v>0</v>
      </c>
      <c r="G18" s="5" t="n">
        <v>0</v>
      </c>
      <c r="H18" s="5" t="n">
        <v>0</v>
      </c>
      <c r="I18" s="5" t="n">
        <v>0</v>
      </c>
      <c r="J18" s="5" t="n">
        <v>0</v>
      </c>
      <c r="K18" s="5"/>
      <c r="L18" s="5"/>
      <c r="M18" s="5"/>
      <c r="N18" s="5"/>
      <c r="O18" s="5" t="s">
        <v>11</v>
      </c>
      <c r="P18" s="5"/>
      <c r="Q18" s="5"/>
      <c r="R18" s="5"/>
      <c r="S18" s="5"/>
      <c r="T18" s="5"/>
      <c r="U18" s="5"/>
      <c r="V18" s="5"/>
      <c r="W18" s="5"/>
      <c r="X18" s="5"/>
      <c r="Y18" s="5"/>
      <c r="Z18" s="5"/>
    </row>
    <row r="19" customFormat="false" ht="23.85" hidden="false" customHeight="false" outlineLevel="0" collapsed="false">
      <c r="A19" s="5" t="n">
        <v>18</v>
      </c>
      <c r="B19" s="5" t="s">
        <v>877</v>
      </c>
      <c r="C19" s="5" t="n">
        <v>0</v>
      </c>
      <c r="D19" s="5" t="n">
        <v>0</v>
      </c>
      <c r="E19" s="5" t="n">
        <v>1</v>
      </c>
      <c r="F19" s="5" t="n">
        <v>0</v>
      </c>
      <c r="G19" s="5" t="n">
        <v>0</v>
      </c>
      <c r="H19" s="5" t="n">
        <v>0</v>
      </c>
      <c r="I19" s="5" t="n">
        <v>0</v>
      </c>
      <c r="J19" s="5" t="n">
        <v>1</v>
      </c>
      <c r="K19" s="5"/>
      <c r="L19" s="5"/>
      <c r="M19" s="5"/>
      <c r="N19" s="5"/>
      <c r="O19" s="5" t="s">
        <v>17</v>
      </c>
      <c r="P19" s="5"/>
      <c r="Q19" s="5"/>
      <c r="R19" s="5"/>
      <c r="S19" s="5"/>
      <c r="T19" s="5"/>
      <c r="U19" s="5"/>
      <c r="V19" s="5"/>
      <c r="W19" s="5"/>
      <c r="X19" s="5"/>
      <c r="Y19" s="5"/>
      <c r="Z19" s="5"/>
    </row>
    <row r="20" customFormat="false" ht="23.85" hidden="false" customHeight="false" outlineLevel="0" collapsed="false">
      <c r="A20" s="5" t="n">
        <v>19</v>
      </c>
      <c r="B20" s="5" t="s">
        <v>882</v>
      </c>
      <c r="C20" s="5" t="n">
        <v>0</v>
      </c>
      <c r="D20" s="5" t="n">
        <v>0</v>
      </c>
      <c r="E20" s="5" t="n">
        <v>1</v>
      </c>
      <c r="F20" s="5" t="n">
        <v>1</v>
      </c>
      <c r="G20" s="5" t="n">
        <v>0</v>
      </c>
      <c r="H20" s="5" t="n">
        <v>0</v>
      </c>
      <c r="I20" s="5" t="n">
        <v>1</v>
      </c>
      <c r="J20" s="5" t="n">
        <v>1</v>
      </c>
      <c r="K20" s="5"/>
      <c r="L20" s="5"/>
      <c r="M20" s="5"/>
      <c r="N20" s="5"/>
      <c r="O20" s="5" t="s">
        <v>17</v>
      </c>
      <c r="P20" s="5"/>
      <c r="Q20" s="5"/>
      <c r="R20" s="5"/>
      <c r="S20" s="5"/>
      <c r="T20" s="5"/>
      <c r="U20" s="5"/>
      <c r="V20" s="5"/>
      <c r="W20" s="5"/>
      <c r="X20" s="5"/>
      <c r="Y20" s="5"/>
      <c r="Z20" s="5"/>
    </row>
    <row r="21" customFormat="false" ht="23.85" hidden="false" customHeight="false" outlineLevel="0" collapsed="false">
      <c r="A21" s="5" t="n">
        <v>20</v>
      </c>
      <c r="B21" s="5" t="s">
        <v>885</v>
      </c>
      <c r="C21" s="5" t="n">
        <v>0</v>
      </c>
      <c r="D21" s="5" t="n">
        <v>0</v>
      </c>
      <c r="E21" s="5" t="n">
        <v>1</v>
      </c>
      <c r="F21" s="5" t="n">
        <v>0</v>
      </c>
      <c r="G21" s="5" t="n">
        <v>0</v>
      </c>
      <c r="H21" s="5" t="n">
        <v>1</v>
      </c>
      <c r="I21" s="5" t="n">
        <v>1</v>
      </c>
      <c r="J21" s="5" t="n">
        <v>0</v>
      </c>
      <c r="K21" s="5"/>
      <c r="L21" s="5"/>
      <c r="M21" s="5"/>
      <c r="N21" s="5"/>
      <c r="O21" s="5" t="s">
        <v>10</v>
      </c>
      <c r="P21" s="5"/>
      <c r="Q21" s="5"/>
      <c r="R21" s="5"/>
      <c r="S21" s="5"/>
      <c r="T21" s="5"/>
      <c r="U21" s="5"/>
      <c r="V21" s="5"/>
      <c r="W21" s="5"/>
      <c r="X21" s="5"/>
      <c r="Y21" s="5"/>
      <c r="Z21" s="5"/>
    </row>
    <row r="22" customFormat="false" ht="23.85" hidden="false" customHeight="false" outlineLevel="0" collapsed="false">
      <c r="A22" s="5" t="n">
        <v>21</v>
      </c>
      <c r="B22" s="5" t="s">
        <v>102</v>
      </c>
      <c r="C22" s="5" t="n">
        <v>0</v>
      </c>
      <c r="D22" s="5" t="n">
        <v>0</v>
      </c>
      <c r="E22" s="5" t="n">
        <v>1</v>
      </c>
      <c r="F22" s="5" t="n">
        <v>0</v>
      </c>
      <c r="G22" s="5" t="n">
        <v>0</v>
      </c>
      <c r="H22" s="5" t="n">
        <v>0</v>
      </c>
      <c r="I22" s="5" t="n">
        <v>1</v>
      </c>
      <c r="J22" s="5" t="n">
        <v>1</v>
      </c>
      <c r="K22" s="5"/>
      <c r="L22" s="5"/>
      <c r="M22" s="5"/>
      <c r="N22" s="5"/>
      <c r="O22" s="5" t="s">
        <v>15</v>
      </c>
      <c r="P22" s="5"/>
      <c r="Q22" s="5"/>
      <c r="R22" s="5"/>
      <c r="S22" s="5"/>
      <c r="T22" s="5"/>
      <c r="U22" s="5"/>
      <c r="V22" s="5"/>
      <c r="W22" s="5"/>
      <c r="X22" s="5"/>
      <c r="Y22" s="5"/>
      <c r="Z22" s="5"/>
    </row>
    <row r="23" customFormat="false" ht="23.85" hidden="false" customHeight="false" outlineLevel="0" collapsed="false">
      <c r="A23" s="5" t="n">
        <v>22</v>
      </c>
      <c r="B23" s="5" t="s">
        <v>892</v>
      </c>
      <c r="C23" s="5" t="n">
        <v>1</v>
      </c>
      <c r="D23" s="5" t="n">
        <v>0</v>
      </c>
      <c r="E23" s="5" t="n">
        <v>1</v>
      </c>
      <c r="F23" s="5" t="n">
        <v>1</v>
      </c>
      <c r="G23" s="5" t="n">
        <v>0</v>
      </c>
      <c r="H23" s="5" t="n">
        <v>1</v>
      </c>
      <c r="I23" s="5" t="n">
        <v>1</v>
      </c>
      <c r="J23" s="5" t="n">
        <v>1</v>
      </c>
      <c r="K23" s="5"/>
      <c r="L23" s="5"/>
      <c r="M23" s="5"/>
      <c r="N23" s="5"/>
      <c r="O23" s="5" t="s">
        <v>10</v>
      </c>
      <c r="P23" s="5"/>
      <c r="Q23" s="5"/>
      <c r="R23" s="5"/>
      <c r="S23" s="5"/>
      <c r="T23" s="5"/>
      <c r="U23" s="5"/>
      <c r="V23" s="5"/>
      <c r="W23" s="5"/>
      <c r="X23" s="5"/>
      <c r="Y23" s="5"/>
      <c r="Z23" s="5"/>
    </row>
    <row r="24" customFormat="false" ht="23.85" hidden="false" customHeight="false" outlineLevel="0" collapsed="false">
      <c r="A24" s="5" t="n">
        <v>23</v>
      </c>
      <c r="B24" s="5" t="s">
        <v>896</v>
      </c>
      <c r="C24" s="5" t="n">
        <v>0</v>
      </c>
      <c r="D24" s="5" t="n">
        <v>0</v>
      </c>
      <c r="E24" s="5" t="n">
        <v>1</v>
      </c>
      <c r="F24" s="5" t="n">
        <v>0</v>
      </c>
      <c r="G24" s="5" t="n">
        <v>0</v>
      </c>
      <c r="H24" s="5" t="n">
        <v>0</v>
      </c>
      <c r="I24" s="5" t="n">
        <v>0</v>
      </c>
      <c r="J24" s="5" t="n">
        <v>0</v>
      </c>
      <c r="K24" s="5"/>
      <c r="L24" s="5"/>
      <c r="M24" s="5" t="s">
        <v>1070</v>
      </c>
      <c r="N24" s="5"/>
      <c r="O24" s="5" t="s">
        <v>15</v>
      </c>
      <c r="P24" s="5"/>
      <c r="Q24" s="5"/>
      <c r="R24" s="5"/>
      <c r="S24" s="5"/>
      <c r="T24" s="5"/>
      <c r="U24" s="5"/>
      <c r="V24" s="5"/>
      <c r="W24" s="5"/>
      <c r="X24" s="5"/>
      <c r="Y24" s="5"/>
      <c r="Z24" s="5"/>
    </row>
    <row r="25" customFormat="false" ht="23.85" hidden="false" customHeight="false" outlineLevel="0" collapsed="false">
      <c r="A25" s="5" t="n">
        <v>24</v>
      </c>
      <c r="B25" s="5" t="s">
        <v>899</v>
      </c>
      <c r="C25" s="5" t="n">
        <v>0</v>
      </c>
      <c r="D25" s="5" t="n">
        <v>0</v>
      </c>
      <c r="E25" s="5" t="n">
        <v>1</v>
      </c>
      <c r="F25" s="5" t="n">
        <v>0</v>
      </c>
      <c r="G25" s="5" t="n">
        <v>0</v>
      </c>
      <c r="H25" s="5" t="n">
        <v>0</v>
      </c>
      <c r="I25" s="5" t="n">
        <v>0</v>
      </c>
      <c r="J25" s="5" t="n">
        <v>0</v>
      </c>
      <c r="K25" s="5"/>
      <c r="L25" s="5"/>
      <c r="M25" s="5"/>
      <c r="N25" s="5"/>
      <c r="O25" s="5" t="s">
        <v>15</v>
      </c>
      <c r="P25" s="5"/>
      <c r="Q25" s="5"/>
      <c r="R25" s="5"/>
      <c r="S25" s="5"/>
      <c r="T25" s="5"/>
      <c r="U25" s="5"/>
      <c r="V25" s="5"/>
      <c r="W25" s="5"/>
      <c r="X25" s="5"/>
      <c r="Y25" s="5"/>
      <c r="Z25" s="5"/>
    </row>
    <row r="26" customFormat="false" ht="23.85" hidden="false" customHeight="false" outlineLevel="0" collapsed="false">
      <c r="A26" s="5" t="n">
        <v>25</v>
      </c>
      <c r="B26" s="5" t="s">
        <v>902</v>
      </c>
      <c r="C26" s="5" t="n">
        <v>0</v>
      </c>
      <c r="D26" s="5" t="n">
        <v>0</v>
      </c>
      <c r="E26" s="5" t="n">
        <v>1</v>
      </c>
      <c r="F26" s="5" t="n">
        <v>0</v>
      </c>
      <c r="G26" s="5" t="n">
        <v>0</v>
      </c>
      <c r="H26" s="5" t="n">
        <v>0</v>
      </c>
      <c r="I26" s="5" t="n">
        <v>0</v>
      </c>
      <c r="J26" s="5" t="n">
        <v>1</v>
      </c>
      <c r="K26" s="5"/>
      <c r="L26" s="5"/>
      <c r="M26" s="5"/>
      <c r="N26" s="5"/>
      <c r="O26" s="5" t="s">
        <v>15</v>
      </c>
      <c r="P26" s="5"/>
      <c r="Q26" s="5"/>
      <c r="R26" s="5"/>
      <c r="S26" s="5"/>
      <c r="T26" s="5"/>
      <c r="U26" s="5"/>
      <c r="V26" s="5"/>
      <c r="W26" s="5"/>
      <c r="X26" s="5"/>
      <c r="Y26" s="5"/>
      <c r="Z26" s="5"/>
    </row>
    <row r="27" customFormat="false" ht="23.85" hidden="false" customHeight="false" outlineLevel="0" collapsed="false">
      <c r="A27" s="5" t="n">
        <v>26</v>
      </c>
      <c r="B27" s="5" t="s">
        <v>906</v>
      </c>
      <c r="C27" s="5" t="n">
        <v>0</v>
      </c>
      <c r="D27" s="5" t="n">
        <v>0</v>
      </c>
      <c r="E27" s="5" t="n">
        <v>1</v>
      </c>
      <c r="F27" s="5" t="n">
        <v>1</v>
      </c>
      <c r="G27" s="5" t="n">
        <v>0</v>
      </c>
      <c r="H27" s="5" t="n">
        <v>0</v>
      </c>
      <c r="I27" s="5" t="n">
        <v>0</v>
      </c>
      <c r="J27" s="5" t="n">
        <v>0</v>
      </c>
      <c r="K27" s="5"/>
      <c r="L27" s="5"/>
      <c r="M27" s="5"/>
      <c r="N27" s="5"/>
      <c r="O27" s="5" t="s">
        <v>11</v>
      </c>
      <c r="P27" s="5"/>
      <c r="Q27" s="5"/>
      <c r="R27" s="5"/>
      <c r="S27" s="5"/>
      <c r="T27" s="5"/>
      <c r="U27" s="5"/>
      <c r="V27" s="5"/>
      <c r="W27" s="5"/>
      <c r="X27" s="5"/>
      <c r="Y27" s="5"/>
      <c r="Z27" s="5"/>
    </row>
    <row r="28" customFormat="false" ht="23.85" hidden="false" customHeight="false" outlineLevel="0" collapsed="false">
      <c r="A28" s="5" t="n">
        <v>27</v>
      </c>
      <c r="B28" s="5" t="s">
        <v>115</v>
      </c>
      <c r="C28" s="5" t="n">
        <v>0</v>
      </c>
      <c r="D28" s="5" t="n">
        <v>0</v>
      </c>
      <c r="E28" s="5" t="n">
        <v>1</v>
      </c>
      <c r="F28" s="5" t="n">
        <v>0</v>
      </c>
      <c r="G28" s="5" t="n">
        <v>0</v>
      </c>
      <c r="H28" s="5" t="n">
        <v>0</v>
      </c>
      <c r="I28" s="5" t="n">
        <v>1</v>
      </c>
      <c r="J28" s="5" t="n">
        <v>1</v>
      </c>
      <c r="K28" s="5"/>
      <c r="L28" s="5"/>
      <c r="M28" s="5"/>
      <c r="N28" s="5"/>
      <c r="O28" s="5" t="s">
        <v>15</v>
      </c>
      <c r="P28" s="5"/>
      <c r="Q28" s="5"/>
      <c r="R28" s="5"/>
      <c r="S28" s="5"/>
      <c r="T28" s="5"/>
      <c r="U28" s="5"/>
      <c r="V28" s="5"/>
      <c r="W28" s="5"/>
      <c r="X28" s="5"/>
      <c r="Y28" s="5"/>
      <c r="Z28" s="5"/>
    </row>
    <row r="29" customFormat="false" ht="23.85" hidden="false" customHeight="false" outlineLevel="0" collapsed="false">
      <c r="A29" s="5" t="n">
        <v>28</v>
      </c>
      <c r="B29" s="5" t="s">
        <v>914</v>
      </c>
      <c r="C29" s="5" t="n">
        <v>0</v>
      </c>
      <c r="D29" s="5" t="n">
        <v>0</v>
      </c>
      <c r="E29" s="5" t="n">
        <v>1</v>
      </c>
      <c r="F29" s="5" t="n">
        <v>0</v>
      </c>
      <c r="G29" s="5" t="n">
        <v>0</v>
      </c>
      <c r="H29" s="5" t="n">
        <v>0</v>
      </c>
      <c r="I29" s="5" t="n">
        <v>0</v>
      </c>
      <c r="J29" s="5" t="n">
        <v>1</v>
      </c>
      <c r="K29" s="5"/>
      <c r="L29" s="5"/>
      <c r="M29" s="5"/>
      <c r="N29" s="5"/>
      <c r="O29" s="5" t="s">
        <v>10</v>
      </c>
      <c r="P29" s="5"/>
      <c r="Q29" s="5"/>
      <c r="R29" s="5"/>
      <c r="S29" s="5"/>
      <c r="T29" s="5"/>
      <c r="U29" s="5"/>
      <c r="V29" s="5"/>
      <c r="W29" s="5"/>
      <c r="X29" s="5"/>
      <c r="Y29" s="5"/>
      <c r="Z29" s="5"/>
    </row>
    <row r="30" customFormat="false" ht="23.85" hidden="false" customHeight="false" outlineLevel="0" collapsed="false">
      <c r="A30" s="5" t="n">
        <v>29</v>
      </c>
      <c r="B30" s="5" t="s">
        <v>917</v>
      </c>
      <c r="C30" s="5" t="n">
        <v>0</v>
      </c>
      <c r="D30" s="5" t="n">
        <v>0</v>
      </c>
      <c r="E30" s="5" t="n">
        <v>1</v>
      </c>
      <c r="F30" s="5" t="n">
        <v>0</v>
      </c>
      <c r="G30" s="5" t="n">
        <v>1</v>
      </c>
      <c r="H30" s="5" t="n">
        <v>0</v>
      </c>
      <c r="I30" s="5" t="n">
        <v>0</v>
      </c>
      <c r="J30" s="5" t="n">
        <v>1</v>
      </c>
      <c r="K30" s="5"/>
      <c r="L30" s="5"/>
      <c r="M30" s="5"/>
      <c r="N30" s="5"/>
      <c r="O30" s="5" t="s">
        <v>10</v>
      </c>
      <c r="P30" s="5"/>
      <c r="Q30" s="5"/>
      <c r="R30" s="5"/>
      <c r="S30" s="5"/>
      <c r="T30" s="5"/>
      <c r="U30" s="5"/>
      <c r="V30" s="5"/>
      <c r="W30" s="5"/>
      <c r="X30" s="5"/>
      <c r="Y30" s="5"/>
      <c r="Z30" s="5"/>
    </row>
    <row r="31" customFormat="false" ht="23.85" hidden="false" customHeight="false" outlineLevel="0" collapsed="false">
      <c r="A31" s="5" t="n">
        <v>30</v>
      </c>
      <c r="B31" s="5" t="s">
        <v>921</v>
      </c>
      <c r="C31" s="5" t="n">
        <v>0</v>
      </c>
      <c r="D31" s="5" t="n">
        <v>0</v>
      </c>
      <c r="E31" s="5" t="n">
        <v>1</v>
      </c>
      <c r="F31" s="5" t="n">
        <v>0</v>
      </c>
      <c r="G31" s="5" t="n">
        <v>0</v>
      </c>
      <c r="H31" s="5" t="n">
        <v>0</v>
      </c>
      <c r="I31" s="5" t="n">
        <v>0</v>
      </c>
      <c r="J31" s="5" t="n">
        <v>1</v>
      </c>
      <c r="K31" s="5"/>
      <c r="L31" s="5"/>
      <c r="M31" s="5"/>
      <c r="N31" s="5"/>
      <c r="O31" s="5" t="s">
        <v>10</v>
      </c>
      <c r="P31" s="5"/>
      <c r="Q31" s="5"/>
      <c r="R31" s="5"/>
      <c r="S31" s="5"/>
      <c r="T31" s="5"/>
      <c r="U31" s="5"/>
      <c r="V31" s="5"/>
      <c r="W31" s="5"/>
      <c r="X31" s="5"/>
      <c r="Y31" s="5"/>
      <c r="Z31" s="5"/>
    </row>
    <row r="32" customFormat="false" ht="23.85" hidden="false" customHeight="false" outlineLevel="0" collapsed="false">
      <c r="A32" s="5" t="n">
        <v>31</v>
      </c>
      <c r="B32" s="5" t="s">
        <v>924</v>
      </c>
      <c r="C32" s="5" t="n">
        <v>0</v>
      </c>
      <c r="D32" s="5" t="n">
        <v>0</v>
      </c>
      <c r="E32" s="5" t="n">
        <v>1</v>
      </c>
      <c r="F32" s="5" t="n">
        <v>0</v>
      </c>
      <c r="G32" s="5" t="n">
        <v>0</v>
      </c>
      <c r="H32" s="5" t="n">
        <v>0</v>
      </c>
      <c r="I32" s="5" t="n">
        <v>0</v>
      </c>
      <c r="J32" s="5" t="n">
        <v>1</v>
      </c>
      <c r="K32" s="5"/>
      <c r="L32" s="5"/>
      <c r="M32" s="5"/>
      <c r="N32" s="5"/>
      <c r="O32" s="5" t="s">
        <v>11</v>
      </c>
      <c r="P32" s="5"/>
      <c r="Q32" s="5"/>
      <c r="R32" s="5"/>
      <c r="S32" s="5"/>
      <c r="T32" s="5"/>
      <c r="U32" s="5"/>
      <c r="V32" s="5"/>
      <c r="W32" s="5"/>
      <c r="X32" s="5"/>
      <c r="Y32" s="5"/>
      <c r="Z32" s="5"/>
    </row>
    <row r="33" customFormat="false" ht="23.85" hidden="false" customHeight="false" outlineLevel="0" collapsed="false">
      <c r="A33" s="5" t="n">
        <v>32</v>
      </c>
      <c r="B33" s="5" t="s">
        <v>928</v>
      </c>
      <c r="C33" s="5" t="n">
        <v>0</v>
      </c>
      <c r="D33" s="5" t="n">
        <v>0</v>
      </c>
      <c r="E33" s="5" t="n">
        <v>1</v>
      </c>
      <c r="F33" s="5" t="n">
        <v>0</v>
      </c>
      <c r="G33" s="5" t="n">
        <v>0</v>
      </c>
      <c r="H33" s="5" t="n">
        <v>0</v>
      </c>
      <c r="I33" s="5" t="n">
        <v>0</v>
      </c>
      <c r="J33" s="5" t="n">
        <v>1</v>
      </c>
      <c r="K33" s="5"/>
      <c r="L33" s="5"/>
      <c r="M33" s="5"/>
      <c r="N33" s="5"/>
      <c r="O33" s="5" t="s">
        <v>836</v>
      </c>
      <c r="P33" s="5"/>
      <c r="Q33" s="5"/>
      <c r="R33" s="5"/>
      <c r="S33" s="5"/>
      <c r="T33" s="5"/>
      <c r="U33" s="5"/>
      <c r="V33" s="5"/>
      <c r="W33" s="5"/>
      <c r="X33" s="5"/>
      <c r="Y33" s="5"/>
      <c r="Z33" s="5"/>
    </row>
    <row r="34" customFormat="false" ht="23.85" hidden="false" customHeight="false" outlineLevel="0" collapsed="false">
      <c r="A34" s="5" t="n">
        <v>33</v>
      </c>
      <c r="B34" s="5" t="s">
        <v>932</v>
      </c>
      <c r="C34" s="5" t="n">
        <v>0</v>
      </c>
      <c r="D34" s="5" t="n">
        <v>0</v>
      </c>
      <c r="E34" s="5" t="n">
        <v>1</v>
      </c>
      <c r="F34" s="5" t="n">
        <v>0</v>
      </c>
      <c r="G34" s="5" t="n">
        <v>0</v>
      </c>
      <c r="H34" s="5" t="n">
        <v>0</v>
      </c>
      <c r="I34" s="5" t="n">
        <v>0</v>
      </c>
      <c r="J34" s="5" t="n">
        <v>0</v>
      </c>
      <c r="K34" s="5"/>
      <c r="L34" s="5"/>
      <c r="M34" s="5"/>
      <c r="N34" s="5"/>
      <c r="O34" s="5" t="s">
        <v>16</v>
      </c>
      <c r="P34" s="5"/>
      <c r="Q34" s="5"/>
      <c r="R34" s="5"/>
      <c r="S34" s="5"/>
      <c r="T34" s="5"/>
      <c r="U34" s="5"/>
      <c r="V34" s="5"/>
      <c r="W34" s="5"/>
      <c r="X34" s="5"/>
      <c r="Y34" s="5"/>
      <c r="Z34" s="5"/>
    </row>
    <row r="35" customFormat="false" ht="23.85" hidden="false" customHeight="false" outlineLevel="0" collapsed="false">
      <c r="A35" s="5" t="n">
        <v>34</v>
      </c>
      <c r="B35" s="5" t="s">
        <v>935</v>
      </c>
      <c r="C35" s="5" t="n">
        <v>0</v>
      </c>
      <c r="D35" s="5" t="n">
        <v>0</v>
      </c>
      <c r="E35" s="5" t="n">
        <v>1</v>
      </c>
      <c r="F35" s="5" t="n">
        <v>0</v>
      </c>
      <c r="G35" s="5" t="n">
        <v>0</v>
      </c>
      <c r="H35" s="5" t="n">
        <v>0</v>
      </c>
      <c r="I35" s="5" t="n">
        <v>1</v>
      </c>
      <c r="J35" s="5" t="n">
        <v>1</v>
      </c>
      <c r="K35" s="5"/>
      <c r="L35" s="5"/>
      <c r="M35" s="5"/>
      <c r="N35" s="5"/>
      <c r="O35" s="5" t="s">
        <v>14</v>
      </c>
      <c r="P35" s="5"/>
      <c r="Q35" s="5"/>
      <c r="R35" s="5"/>
      <c r="S35" s="5"/>
      <c r="T35" s="5"/>
      <c r="U35" s="5"/>
      <c r="V35" s="5"/>
      <c r="W35" s="5"/>
      <c r="X35" s="5"/>
      <c r="Y35" s="5"/>
      <c r="Z35" s="5"/>
    </row>
    <row r="36" customFormat="false" ht="15" hidden="false" customHeight="false" outlineLevel="0" collapsed="false">
      <c r="A36" s="5" t="n">
        <v>35</v>
      </c>
      <c r="B36" s="5" t="s">
        <v>132</v>
      </c>
      <c r="C36" s="5" t="n">
        <v>0</v>
      </c>
      <c r="D36" s="5" t="n">
        <v>0</v>
      </c>
      <c r="E36" s="5" t="n">
        <v>1</v>
      </c>
      <c r="F36" s="5" t="n">
        <v>0</v>
      </c>
      <c r="G36" s="5" t="n">
        <v>0</v>
      </c>
      <c r="H36" s="5" t="n">
        <v>0</v>
      </c>
      <c r="I36" s="5" t="n">
        <v>0</v>
      </c>
      <c r="J36" s="5" t="n">
        <v>1</v>
      </c>
      <c r="K36" s="5"/>
      <c r="L36" s="5"/>
      <c r="M36" s="5"/>
      <c r="N36" s="5"/>
      <c r="O36" s="5" t="s">
        <v>16</v>
      </c>
      <c r="P36" s="5"/>
      <c r="Q36" s="5"/>
      <c r="R36" s="5"/>
      <c r="S36" s="5"/>
      <c r="T36" s="5"/>
      <c r="U36" s="5"/>
      <c r="V36" s="5"/>
      <c r="W36" s="5"/>
      <c r="X36" s="5"/>
      <c r="Y36" s="5"/>
      <c r="Z36" s="5"/>
    </row>
    <row r="37" customFormat="false" ht="23.85" hidden="false" customHeight="false" outlineLevel="0" collapsed="false">
      <c r="A37" s="5" t="n">
        <v>36</v>
      </c>
      <c r="B37" s="5" t="s">
        <v>134</v>
      </c>
      <c r="C37" s="5" t="n">
        <v>0</v>
      </c>
      <c r="D37" s="5" t="n">
        <v>0</v>
      </c>
      <c r="E37" s="5" t="n">
        <v>1</v>
      </c>
      <c r="F37" s="5" t="n">
        <v>0</v>
      </c>
      <c r="G37" s="5" t="n">
        <v>0</v>
      </c>
      <c r="H37" s="5" t="n">
        <v>0</v>
      </c>
      <c r="I37" s="5" t="n">
        <v>0</v>
      </c>
      <c r="J37" s="5" t="n">
        <v>1</v>
      </c>
      <c r="K37" s="5"/>
      <c r="L37" s="5"/>
      <c r="M37" s="5"/>
      <c r="N37" s="5"/>
      <c r="O37" s="5" t="s">
        <v>11</v>
      </c>
      <c r="P37" s="5"/>
      <c r="Q37" s="5"/>
      <c r="R37" s="5"/>
      <c r="S37" s="5"/>
      <c r="T37" s="5"/>
      <c r="U37" s="5"/>
      <c r="V37" s="5"/>
      <c r="W37" s="5"/>
      <c r="X37" s="5"/>
      <c r="Y37" s="5"/>
      <c r="Z37" s="5"/>
    </row>
    <row r="38" customFormat="false" ht="23.85" hidden="false" customHeight="false" outlineLevel="0" collapsed="false">
      <c r="A38" s="5" t="n">
        <v>37</v>
      </c>
      <c r="B38" s="5" t="s">
        <v>944</v>
      </c>
      <c r="C38" s="5" t="n">
        <v>0</v>
      </c>
      <c r="D38" s="5" t="n">
        <v>0</v>
      </c>
      <c r="E38" s="5" t="n">
        <v>1</v>
      </c>
      <c r="F38" s="5" t="n">
        <v>1</v>
      </c>
      <c r="G38" s="5" t="n">
        <v>0</v>
      </c>
      <c r="H38" s="5" t="n">
        <v>0</v>
      </c>
      <c r="I38" s="5" t="n">
        <v>0</v>
      </c>
      <c r="J38" s="5" t="n">
        <v>1</v>
      </c>
      <c r="K38" s="5"/>
      <c r="L38" s="5"/>
      <c r="M38" s="5"/>
      <c r="N38" s="5"/>
      <c r="O38" s="5" t="s">
        <v>11</v>
      </c>
      <c r="P38" s="5"/>
      <c r="Q38" s="5"/>
      <c r="R38" s="5"/>
      <c r="S38" s="5"/>
      <c r="T38" s="5"/>
      <c r="U38" s="5"/>
      <c r="V38" s="5"/>
      <c r="W38" s="5"/>
      <c r="X38" s="5"/>
      <c r="Y38" s="5"/>
      <c r="Z38" s="5"/>
    </row>
    <row r="39" customFormat="false" ht="23.85" hidden="false" customHeight="false" outlineLevel="0" collapsed="false">
      <c r="A39" s="5" t="n">
        <v>38</v>
      </c>
      <c r="B39" s="5" t="s">
        <v>947</v>
      </c>
      <c r="C39" s="5" t="n">
        <v>0</v>
      </c>
      <c r="D39" s="5" t="n">
        <v>0</v>
      </c>
      <c r="E39" s="5" t="n">
        <v>1</v>
      </c>
      <c r="F39" s="5" t="n">
        <v>0</v>
      </c>
      <c r="G39" s="5" t="n">
        <v>0</v>
      </c>
      <c r="H39" s="5" t="n">
        <v>0</v>
      </c>
      <c r="I39" s="5" t="n">
        <v>0</v>
      </c>
      <c r="J39" s="5" t="n">
        <v>0</v>
      </c>
      <c r="K39" s="5"/>
      <c r="L39" s="5"/>
      <c r="M39" s="5"/>
      <c r="N39" s="5"/>
      <c r="O39" s="5" t="s">
        <v>13</v>
      </c>
      <c r="P39" s="5"/>
      <c r="Q39" s="5"/>
      <c r="R39" s="5"/>
      <c r="S39" s="5"/>
      <c r="T39" s="5"/>
      <c r="U39" s="5"/>
      <c r="V39" s="5"/>
      <c r="W39" s="5"/>
      <c r="X39" s="5"/>
      <c r="Y39" s="5"/>
      <c r="Z39" s="5"/>
    </row>
    <row r="40" customFormat="false" ht="23.85" hidden="false" customHeight="false" outlineLevel="0" collapsed="false">
      <c r="A40" s="5" t="n">
        <v>39</v>
      </c>
      <c r="B40" s="5" t="s">
        <v>949</v>
      </c>
      <c r="C40" s="5" t="n">
        <v>0</v>
      </c>
      <c r="D40" s="5" t="n">
        <v>0</v>
      </c>
      <c r="E40" s="5" t="n">
        <v>1</v>
      </c>
      <c r="F40" s="5" t="n">
        <v>1</v>
      </c>
      <c r="G40" s="5" t="n">
        <v>0</v>
      </c>
      <c r="H40" s="5" t="n">
        <v>0</v>
      </c>
      <c r="I40" s="5" t="n">
        <v>0</v>
      </c>
      <c r="J40" s="5" t="n">
        <v>0</v>
      </c>
      <c r="K40" s="5"/>
      <c r="L40" s="5"/>
      <c r="M40" s="5"/>
      <c r="N40" s="5"/>
      <c r="O40" s="5" t="s">
        <v>10</v>
      </c>
      <c r="P40" s="5"/>
      <c r="Q40" s="5"/>
      <c r="R40" s="5"/>
      <c r="S40" s="5"/>
      <c r="T40" s="5"/>
      <c r="U40" s="5"/>
      <c r="V40" s="5"/>
      <c r="W40" s="5"/>
      <c r="X40" s="5"/>
      <c r="Y40" s="5"/>
      <c r="Z40" s="5"/>
    </row>
    <row r="41" customFormat="false" ht="23.85" hidden="false" customHeight="false" outlineLevel="0" collapsed="false">
      <c r="A41" s="5" t="n">
        <v>40</v>
      </c>
      <c r="B41" s="5" t="s">
        <v>952</v>
      </c>
      <c r="C41" s="5" t="n">
        <v>0</v>
      </c>
      <c r="D41" s="5" t="n">
        <v>0</v>
      </c>
      <c r="E41" s="5" t="n">
        <v>1</v>
      </c>
      <c r="F41" s="5" t="n">
        <v>1</v>
      </c>
      <c r="G41" s="5" t="n">
        <v>0</v>
      </c>
      <c r="H41" s="5" t="n">
        <v>0</v>
      </c>
      <c r="I41" s="5" t="n">
        <v>0</v>
      </c>
      <c r="J41" s="5" t="n">
        <v>0</v>
      </c>
      <c r="K41" s="5"/>
      <c r="L41" s="5"/>
      <c r="M41" s="5"/>
      <c r="N41" s="5"/>
      <c r="O41" s="5" t="s">
        <v>17</v>
      </c>
      <c r="P41" s="5"/>
      <c r="Q41" s="5"/>
      <c r="R41" s="5"/>
      <c r="S41" s="5"/>
      <c r="T41" s="5"/>
      <c r="U41" s="5"/>
      <c r="V41" s="5"/>
      <c r="W41" s="5"/>
      <c r="X41" s="5"/>
      <c r="Y41" s="5"/>
      <c r="Z41" s="5"/>
    </row>
    <row r="42" customFormat="false" ht="23.85" hidden="false" customHeight="false" outlineLevel="0" collapsed="false">
      <c r="A42" s="5" t="n">
        <v>41</v>
      </c>
      <c r="B42" s="5" t="s">
        <v>956</v>
      </c>
      <c r="C42" s="5" t="n">
        <v>0</v>
      </c>
      <c r="D42" s="5" t="n">
        <v>0</v>
      </c>
      <c r="E42" s="5" t="n">
        <v>1</v>
      </c>
      <c r="F42" s="5" t="n">
        <v>0</v>
      </c>
      <c r="G42" s="5" t="n">
        <v>0</v>
      </c>
      <c r="H42" s="5" t="n">
        <v>0</v>
      </c>
      <c r="I42" s="5" t="n">
        <v>0</v>
      </c>
      <c r="J42" s="5" t="n">
        <v>1</v>
      </c>
      <c r="K42" s="5"/>
      <c r="L42" s="5"/>
      <c r="M42" s="5"/>
      <c r="N42" s="5"/>
      <c r="O42" s="5" t="s">
        <v>836</v>
      </c>
      <c r="P42" s="5"/>
      <c r="Q42" s="5"/>
      <c r="R42" s="5"/>
      <c r="S42" s="5"/>
      <c r="T42" s="5"/>
      <c r="U42" s="5"/>
      <c r="V42" s="5"/>
      <c r="W42" s="5"/>
      <c r="X42" s="5"/>
      <c r="Y42" s="5"/>
      <c r="Z42" s="5"/>
    </row>
    <row r="43" customFormat="false" ht="23.85" hidden="false" customHeight="false" outlineLevel="0" collapsed="false">
      <c r="A43" s="5" t="n">
        <v>42</v>
      </c>
      <c r="B43" s="5" t="s">
        <v>959</v>
      </c>
      <c r="C43" s="5" t="n">
        <v>0</v>
      </c>
      <c r="D43" s="5" t="n">
        <v>0</v>
      </c>
      <c r="E43" s="5" t="n">
        <v>1</v>
      </c>
      <c r="F43" s="5" t="n">
        <v>0</v>
      </c>
      <c r="G43" s="5" t="n">
        <v>0</v>
      </c>
      <c r="H43" s="5" t="n">
        <v>0</v>
      </c>
      <c r="I43" s="5" t="n">
        <v>0</v>
      </c>
      <c r="J43" s="5" t="n">
        <v>1</v>
      </c>
      <c r="K43" s="5"/>
      <c r="L43" s="5"/>
      <c r="M43" s="5"/>
      <c r="N43" s="5"/>
      <c r="O43" s="5" t="s">
        <v>14</v>
      </c>
      <c r="P43" s="5"/>
      <c r="Q43" s="5"/>
      <c r="R43" s="5"/>
      <c r="S43" s="5"/>
      <c r="T43" s="5"/>
      <c r="U43" s="5"/>
      <c r="V43" s="5"/>
      <c r="W43" s="5"/>
      <c r="X43" s="5"/>
      <c r="Y43" s="5"/>
      <c r="Z43" s="5"/>
    </row>
    <row r="44" customFormat="false" ht="23.85" hidden="false" customHeight="false" outlineLevel="0" collapsed="false">
      <c r="A44" s="5" t="n">
        <v>43</v>
      </c>
      <c r="B44" s="5" t="s">
        <v>962</v>
      </c>
      <c r="C44" s="5" t="n">
        <v>0</v>
      </c>
      <c r="D44" s="5" t="n">
        <v>0</v>
      </c>
      <c r="E44" s="5" t="n">
        <v>1</v>
      </c>
      <c r="F44" s="5" t="n">
        <v>0</v>
      </c>
      <c r="G44" s="5" t="n">
        <v>0</v>
      </c>
      <c r="H44" s="5" t="n">
        <v>0</v>
      </c>
      <c r="I44" s="5" t="n">
        <v>0</v>
      </c>
      <c r="J44" s="5" t="n">
        <v>1</v>
      </c>
      <c r="K44" s="5"/>
      <c r="L44" s="5"/>
      <c r="M44" s="5"/>
      <c r="N44" s="5"/>
      <c r="O44" s="5" t="s">
        <v>15</v>
      </c>
      <c r="P44" s="5"/>
      <c r="Q44" s="5"/>
      <c r="R44" s="5"/>
      <c r="S44" s="5"/>
      <c r="T44" s="5"/>
      <c r="U44" s="5"/>
      <c r="V44" s="5"/>
      <c r="W44" s="5"/>
      <c r="X44" s="5"/>
      <c r="Y44" s="5"/>
      <c r="Z44" s="5"/>
    </row>
    <row r="45" customFormat="false" ht="23.85" hidden="false" customHeight="false" outlineLevel="0" collapsed="false">
      <c r="A45" s="5" t="n">
        <v>44</v>
      </c>
      <c r="B45" s="5" t="s">
        <v>965</v>
      </c>
      <c r="C45" s="5" t="n">
        <v>0</v>
      </c>
      <c r="D45" s="5" t="n">
        <v>0</v>
      </c>
      <c r="E45" s="5" t="n">
        <v>1</v>
      </c>
      <c r="F45" s="5" t="n">
        <v>0</v>
      </c>
      <c r="G45" s="5" t="n">
        <v>0</v>
      </c>
      <c r="H45" s="5" t="n">
        <v>0</v>
      </c>
      <c r="I45" s="5" t="n">
        <v>0</v>
      </c>
      <c r="J45" s="5" t="n">
        <v>1</v>
      </c>
      <c r="K45" s="5"/>
      <c r="L45" s="5"/>
      <c r="M45" s="5"/>
      <c r="N45" s="5"/>
      <c r="O45" s="5" t="s">
        <v>16</v>
      </c>
      <c r="P45" s="5"/>
      <c r="Q45" s="5"/>
      <c r="R45" s="5"/>
      <c r="S45" s="5"/>
      <c r="T45" s="5"/>
      <c r="U45" s="5"/>
      <c r="V45" s="5"/>
      <c r="W45" s="5"/>
      <c r="X45" s="5"/>
      <c r="Y45" s="5"/>
      <c r="Z45" s="5"/>
    </row>
    <row r="46" customFormat="false" ht="23.85" hidden="false" customHeight="false" outlineLevel="0" collapsed="false">
      <c r="A46" s="5" t="n">
        <v>45</v>
      </c>
      <c r="B46" s="5" t="s">
        <v>968</v>
      </c>
      <c r="C46" s="5" t="n">
        <v>0</v>
      </c>
      <c r="D46" s="5" t="n">
        <v>0</v>
      </c>
      <c r="E46" s="5" t="n">
        <v>1</v>
      </c>
      <c r="F46" s="5" t="n">
        <v>0</v>
      </c>
      <c r="G46" s="5" t="n">
        <v>0</v>
      </c>
      <c r="H46" s="5" t="n">
        <v>0</v>
      </c>
      <c r="I46" s="5" t="n">
        <v>0</v>
      </c>
      <c r="J46" s="5" t="n">
        <v>0</v>
      </c>
      <c r="K46" s="5"/>
      <c r="L46" s="5"/>
      <c r="M46" s="5"/>
      <c r="N46" s="5"/>
      <c r="O46" s="5" t="s">
        <v>15</v>
      </c>
      <c r="P46" s="5"/>
      <c r="Q46" s="5"/>
      <c r="R46" s="5"/>
      <c r="S46" s="5"/>
      <c r="T46" s="5"/>
      <c r="U46" s="5"/>
      <c r="V46" s="5"/>
      <c r="W46" s="5"/>
      <c r="X46" s="5"/>
      <c r="Y46" s="5"/>
      <c r="Z46" s="5"/>
    </row>
    <row r="47" customFormat="false" ht="23.85" hidden="false" customHeight="false" outlineLevel="0" collapsed="false">
      <c r="A47" s="5" t="n">
        <v>46</v>
      </c>
      <c r="B47" s="5" t="s">
        <v>970</v>
      </c>
      <c r="C47" s="5" t="n">
        <v>0</v>
      </c>
      <c r="D47" s="5" t="n">
        <v>0</v>
      </c>
      <c r="E47" s="5" t="n">
        <v>1</v>
      </c>
      <c r="F47" s="5" t="n">
        <v>1</v>
      </c>
      <c r="G47" s="5" t="n">
        <v>0</v>
      </c>
      <c r="H47" s="5" t="n">
        <v>0</v>
      </c>
      <c r="I47" s="5" t="n">
        <v>0</v>
      </c>
      <c r="J47" s="5" t="n">
        <v>1</v>
      </c>
      <c r="K47" s="5"/>
      <c r="L47" s="5"/>
      <c r="M47" s="5"/>
      <c r="N47" s="5"/>
      <c r="O47" s="5" t="s">
        <v>17</v>
      </c>
      <c r="P47" s="5"/>
      <c r="Q47" s="5"/>
      <c r="R47" s="5"/>
      <c r="S47" s="5"/>
      <c r="T47" s="5"/>
      <c r="U47" s="5"/>
      <c r="V47" s="5"/>
      <c r="W47" s="5"/>
      <c r="X47" s="5"/>
      <c r="Y47" s="5"/>
      <c r="Z47" s="5"/>
    </row>
    <row r="48" customFormat="false" ht="23.85" hidden="false" customHeight="false" outlineLevel="0" collapsed="false">
      <c r="A48" s="5" t="n">
        <v>47</v>
      </c>
      <c r="B48" s="5" t="s">
        <v>973</v>
      </c>
      <c r="C48" s="5" t="n">
        <v>0</v>
      </c>
      <c r="D48" s="5" t="n">
        <v>0</v>
      </c>
      <c r="E48" s="5" t="n">
        <v>1</v>
      </c>
      <c r="F48" s="5" t="n">
        <v>0</v>
      </c>
      <c r="G48" s="5" t="n">
        <v>0</v>
      </c>
      <c r="H48" s="5" t="n">
        <v>0</v>
      </c>
      <c r="I48" s="5" t="n">
        <v>1</v>
      </c>
      <c r="J48" s="5" t="n">
        <v>1</v>
      </c>
      <c r="K48" s="5"/>
      <c r="L48" s="5"/>
      <c r="M48" s="5"/>
      <c r="N48" s="5"/>
      <c r="O48" s="5" t="s">
        <v>15</v>
      </c>
      <c r="P48" s="5"/>
      <c r="Q48" s="5"/>
      <c r="R48" s="5"/>
      <c r="S48" s="5"/>
      <c r="T48" s="5"/>
      <c r="U48" s="5"/>
      <c r="V48" s="5"/>
      <c r="W48" s="5"/>
      <c r="X48" s="5"/>
      <c r="Y48" s="5"/>
      <c r="Z48" s="5"/>
    </row>
    <row r="49" customFormat="false" ht="23.85" hidden="false" customHeight="false" outlineLevel="0" collapsed="false">
      <c r="A49" s="5" t="n">
        <v>48</v>
      </c>
      <c r="B49" s="5" t="s">
        <v>976</v>
      </c>
      <c r="C49" s="5" t="n">
        <v>0</v>
      </c>
      <c r="D49" s="5" t="n">
        <v>0</v>
      </c>
      <c r="E49" s="5" t="n">
        <v>1</v>
      </c>
      <c r="F49" s="5" t="n">
        <v>0</v>
      </c>
      <c r="G49" s="5" t="n">
        <v>0</v>
      </c>
      <c r="H49" s="5" t="n">
        <v>0</v>
      </c>
      <c r="I49" s="5" t="n">
        <v>1</v>
      </c>
      <c r="J49" s="5" t="n">
        <v>1</v>
      </c>
      <c r="K49" s="5"/>
      <c r="L49" s="5"/>
      <c r="M49" s="5"/>
      <c r="N49" s="5"/>
      <c r="O49" s="5" t="s">
        <v>15</v>
      </c>
      <c r="P49" s="5"/>
      <c r="Q49" s="5"/>
      <c r="R49" s="5"/>
      <c r="S49" s="5"/>
      <c r="T49" s="5"/>
      <c r="U49" s="5"/>
      <c r="V49" s="5"/>
      <c r="W49" s="5"/>
      <c r="X49" s="5"/>
      <c r="Y49" s="5"/>
      <c r="Z49" s="5"/>
    </row>
    <row r="50" customFormat="false" ht="23.85" hidden="false" customHeight="false" outlineLevel="0" collapsed="false">
      <c r="A50" s="5" t="n">
        <v>49</v>
      </c>
      <c r="B50" s="5" t="s">
        <v>979</v>
      </c>
      <c r="C50" s="5" t="n">
        <v>0</v>
      </c>
      <c r="D50" s="5" t="n">
        <v>0</v>
      </c>
      <c r="E50" s="5" t="n">
        <v>1</v>
      </c>
      <c r="F50" s="5" t="n">
        <v>0</v>
      </c>
      <c r="G50" s="5" t="n">
        <v>0</v>
      </c>
      <c r="H50" s="5" t="n">
        <v>0</v>
      </c>
      <c r="I50" s="5" t="n">
        <v>0</v>
      </c>
      <c r="J50" s="5" t="n">
        <v>1</v>
      </c>
      <c r="K50" s="5"/>
      <c r="L50" s="5"/>
      <c r="M50" s="5"/>
      <c r="N50" s="5"/>
      <c r="O50" s="5" t="s">
        <v>17</v>
      </c>
      <c r="P50" s="5"/>
      <c r="Q50" s="5"/>
      <c r="R50" s="5"/>
      <c r="S50" s="5"/>
      <c r="T50" s="5"/>
      <c r="U50" s="5"/>
      <c r="V50" s="5"/>
      <c r="W50" s="5"/>
      <c r="X50" s="5"/>
      <c r="Y50" s="5"/>
      <c r="Z50" s="5"/>
    </row>
    <row r="51" customFormat="false" ht="23.85" hidden="false" customHeight="false" outlineLevel="0" collapsed="false">
      <c r="A51" s="5" t="n">
        <v>50</v>
      </c>
      <c r="B51" s="5" t="s">
        <v>981</v>
      </c>
      <c r="C51" s="5" t="n">
        <v>0</v>
      </c>
      <c r="D51" s="5" t="n">
        <v>0</v>
      </c>
      <c r="E51" s="5" t="n">
        <v>1</v>
      </c>
      <c r="F51" s="5" t="n">
        <v>0</v>
      </c>
      <c r="G51" s="5" t="n">
        <v>0</v>
      </c>
      <c r="H51" s="5" t="n">
        <v>0</v>
      </c>
      <c r="I51" s="5" t="n">
        <v>0</v>
      </c>
      <c r="J51" s="5" t="n">
        <v>0</v>
      </c>
      <c r="K51" s="5"/>
      <c r="L51" s="5"/>
      <c r="M51" s="5"/>
      <c r="N51" s="5"/>
      <c r="O51" s="5" t="s">
        <v>17</v>
      </c>
      <c r="P51" s="5"/>
      <c r="Q51" s="5"/>
      <c r="R51" s="5"/>
      <c r="S51" s="5"/>
      <c r="T51" s="5"/>
      <c r="U51" s="5"/>
      <c r="V51" s="5"/>
      <c r="W51" s="5"/>
      <c r="X51" s="5"/>
      <c r="Y51" s="5"/>
      <c r="Z51" s="5"/>
    </row>
    <row r="52" customFormat="false" ht="23.85" hidden="false" customHeight="false" outlineLevel="0" collapsed="false">
      <c r="A52" s="5" t="n">
        <v>51</v>
      </c>
      <c r="B52" s="5" t="s">
        <v>983</v>
      </c>
      <c r="C52" s="5" t="n">
        <v>0</v>
      </c>
      <c r="D52" s="5" t="n">
        <v>0</v>
      </c>
      <c r="E52" s="5" t="n">
        <v>1</v>
      </c>
      <c r="F52" s="5" t="n">
        <v>1</v>
      </c>
      <c r="G52" s="5" t="n">
        <v>0</v>
      </c>
      <c r="H52" s="5" t="n">
        <v>0</v>
      </c>
      <c r="I52" s="5" t="n">
        <v>0</v>
      </c>
      <c r="J52" s="5" t="n">
        <v>1</v>
      </c>
      <c r="K52" s="5"/>
      <c r="L52" s="5"/>
      <c r="M52" s="5"/>
      <c r="N52" s="5"/>
      <c r="O52" s="5" t="s">
        <v>11</v>
      </c>
      <c r="P52" s="5"/>
      <c r="Q52" s="5"/>
      <c r="R52" s="5"/>
      <c r="S52" s="5"/>
      <c r="T52" s="5"/>
      <c r="U52" s="5"/>
      <c r="V52" s="5"/>
      <c r="W52" s="5"/>
      <c r="X52" s="5"/>
      <c r="Y52" s="5"/>
      <c r="Z52" s="5"/>
    </row>
    <row r="53" customFormat="false" ht="23.85" hidden="false" customHeight="false" outlineLevel="0" collapsed="false">
      <c r="A53" s="5" t="n">
        <v>52</v>
      </c>
      <c r="B53" s="5" t="s">
        <v>986</v>
      </c>
      <c r="C53" s="5" t="n">
        <v>0</v>
      </c>
      <c r="D53" s="5" t="n">
        <v>0</v>
      </c>
      <c r="E53" s="5" t="n">
        <v>1</v>
      </c>
      <c r="F53" s="5" t="n">
        <v>0</v>
      </c>
      <c r="G53" s="5" t="n">
        <v>0</v>
      </c>
      <c r="H53" s="5" t="n">
        <v>0</v>
      </c>
      <c r="I53" s="5" t="n">
        <v>0</v>
      </c>
      <c r="J53" s="5" t="n">
        <v>1</v>
      </c>
      <c r="K53" s="5"/>
      <c r="L53" s="5"/>
      <c r="M53" s="5"/>
      <c r="N53" s="5"/>
      <c r="O53" s="5" t="s">
        <v>15</v>
      </c>
      <c r="P53" s="5"/>
      <c r="Q53" s="5"/>
      <c r="R53" s="5"/>
      <c r="S53" s="5"/>
      <c r="T53" s="5"/>
      <c r="U53" s="5"/>
      <c r="V53" s="5"/>
      <c r="W53" s="5"/>
      <c r="X53" s="5"/>
      <c r="Y53" s="5"/>
      <c r="Z53" s="5"/>
    </row>
    <row r="54" customFormat="false" ht="23.85" hidden="false" customHeight="false" outlineLevel="0" collapsed="false">
      <c r="A54" s="5" t="n">
        <v>53</v>
      </c>
      <c r="B54" s="5" t="s">
        <v>990</v>
      </c>
      <c r="C54" s="5" t="n">
        <v>0</v>
      </c>
      <c r="D54" s="5" t="n">
        <v>0</v>
      </c>
      <c r="E54" s="5" t="n">
        <v>1</v>
      </c>
      <c r="F54" s="5" t="n">
        <v>1</v>
      </c>
      <c r="G54" s="5" t="n">
        <v>0</v>
      </c>
      <c r="H54" s="5" t="n">
        <v>0</v>
      </c>
      <c r="I54" s="5" t="n">
        <v>0</v>
      </c>
      <c r="J54" s="5" t="n">
        <v>0</v>
      </c>
      <c r="K54" s="5"/>
      <c r="L54" s="5"/>
      <c r="M54" s="5"/>
      <c r="N54" s="5"/>
      <c r="O54" s="5" t="s">
        <v>15</v>
      </c>
      <c r="P54" s="5"/>
      <c r="Q54" s="5"/>
      <c r="R54" s="5"/>
      <c r="S54" s="5"/>
      <c r="T54" s="5"/>
      <c r="U54" s="5"/>
      <c r="V54" s="5"/>
      <c r="W54" s="5"/>
      <c r="X54" s="5"/>
      <c r="Y54" s="5"/>
      <c r="Z54" s="5"/>
    </row>
    <row r="55" customFormat="false" ht="23.85" hidden="false" customHeight="false" outlineLevel="0" collapsed="false">
      <c r="A55" s="5" t="n">
        <v>54</v>
      </c>
      <c r="B55" s="5" t="s">
        <v>993</v>
      </c>
      <c r="C55" s="5" t="n">
        <v>0</v>
      </c>
      <c r="D55" s="5" t="n">
        <v>0</v>
      </c>
      <c r="E55" s="5" t="n">
        <v>1</v>
      </c>
      <c r="F55" s="5" t="n">
        <v>0</v>
      </c>
      <c r="G55" s="5" t="n">
        <v>0</v>
      </c>
      <c r="H55" s="5" t="n">
        <v>0</v>
      </c>
      <c r="I55" s="5" t="n">
        <v>0</v>
      </c>
      <c r="J55" s="5" t="n">
        <v>0</v>
      </c>
      <c r="K55" s="5"/>
      <c r="L55" s="5"/>
      <c r="M55" s="5"/>
      <c r="N55" s="5"/>
      <c r="O55" s="5" t="s">
        <v>15</v>
      </c>
      <c r="P55" s="5"/>
      <c r="Q55" s="5"/>
      <c r="R55" s="5"/>
      <c r="S55" s="5"/>
      <c r="T55" s="5"/>
      <c r="U55" s="5"/>
      <c r="V55" s="5"/>
      <c r="W55" s="5"/>
      <c r="X55" s="5"/>
      <c r="Y55" s="5"/>
      <c r="Z55" s="5"/>
    </row>
    <row r="56" customFormat="false" ht="23.85" hidden="false" customHeight="false" outlineLevel="0" collapsed="false">
      <c r="A56" s="5" t="n">
        <v>55</v>
      </c>
      <c r="B56" s="5" t="s">
        <v>996</v>
      </c>
      <c r="C56" s="5" t="n">
        <v>0</v>
      </c>
      <c r="D56" s="5" t="n">
        <v>0</v>
      </c>
      <c r="E56" s="5" t="n">
        <v>1</v>
      </c>
      <c r="F56" s="5" t="n">
        <v>1</v>
      </c>
      <c r="G56" s="5" t="n">
        <v>0</v>
      </c>
      <c r="H56" s="5" t="n">
        <v>0</v>
      </c>
      <c r="I56" s="5" t="n">
        <v>0</v>
      </c>
      <c r="J56" s="5" t="n">
        <v>0</v>
      </c>
      <c r="K56" s="5"/>
      <c r="L56" s="5"/>
      <c r="M56" s="5"/>
      <c r="N56" s="5"/>
      <c r="O56" s="5" t="s">
        <v>11</v>
      </c>
      <c r="P56" s="5"/>
      <c r="Q56" s="5"/>
      <c r="R56" s="5"/>
      <c r="S56" s="5"/>
      <c r="T56" s="5"/>
      <c r="U56" s="5"/>
      <c r="V56" s="5"/>
      <c r="W56" s="5"/>
      <c r="X56" s="5"/>
      <c r="Y56" s="5"/>
      <c r="Z56" s="5"/>
    </row>
    <row r="57" customFormat="false" ht="23.85" hidden="false" customHeight="false" outlineLevel="0" collapsed="false">
      <c r="A57" s="5" t="n">
        <v>56</v>
      </c>
      <c r="B57" s="5" t="s">
        <v>175</v>
      </c>
      <c r="C57" s="5" t="n">
        <v>0</v>
      </c>
      <c r="D57" s="5" t="n">
        <v>0</v>
      </c>
      <c r="E57" s="5" t="n">
        <v>1</v>
      </c>
      <c r="F57" s="5" t="n">
        <v>1</v>
      </c>
      <c r="G57" s="5" t="n">
        <v>0</v>
      </c>
      <c r="H57" s="5" t="n">
        <v>0</v>
      </c>
      <c r="I57" s="5" t="n">
        <v>0</v>
      </c>
      <c r="J57" s="5" t="n">
        <v>1</v>
      </c>
      <c r="K57" s="5"/>
      <c r="L57" s="5"/>
      <c r="M57" s="5"/>
      <c r="N57" s="5"/>
      <c r="O57" s="5" t="s">
        <v>11</v>
      </c>
      <c r="P57" s="5"/>
      <c r="Q57" s="5"/>
      <c r="R57" s="5"/>
      <c r="S57" s="5"/>
      <c r="T57" s="5"/>
      <c r="U57" s="5"/>
      <c r="V57" s="5"/>
      <c r="W57" s="5"/>
      <c r="X57" s="5"/>
      <c r="Y57" s="5"/>
      <c r="Z57" s="5"/>
    </row>
    <row r="58" customFormat="false" ht="23.85" hidden="false" customHeight="false" outlineLevel="0" collapsed="false">
      <c r="A58" s="5" t="n">
        <v>57</v>
      </c>
      <c r="B58" s="5" t="s">
        <v>177</v>
      </c>
      <c r="C58" s="5" t="n">
        <v>0</v>
      </c>
      <c r="D58" s="5" t="n">
        <v>0</v>
      </c>
      <c r="E58" s="5" t="n">
        <v>1</v>
      </c>
      <c r="F58" s="5" t="n">
        <v>0</v>
      </c>
      <c r="G58" s="5" t="n">
        <v>0</v>
      </c>
      <c r="H58" s="5" t="n">
        <v>0</v>
      </c>
      <c r="I58" s="5" t="n">
        <v>0</v>
      </c>
      <c r="J58" s="5" t="n">
        <v>0</v>
      </c>
      <c r="K58" s="5"/>
      <c r="L58" s="5"/>
      <c r="M58" s="5"/>
      <c r="N58" s="5"/>
      <c r="O58" s="5" t="s">
        <v>15</v>
      </c>
      <c r="P58" s="5"/>
      <c r="Q58" s="5"/>
      <c r="R58" s="5"/>
      <c r="S58" s="5"/>
      <c r="T58" s="5"/>
      <c r="U58" s="5"/>
      <c r="V58" s="5"/>
      <c r="W58" s="5"/>
      <c r="X58" s="5"/>
      <c r="Y58" s="5"/>
      <c r="Z58" s="5"/>
    </row>
    <row r="59" customFormat="false" ht="23.85" hidden="false" customHeight="false" outlineLevel="0" collapsed="false">
      <c r="A59" s="5" t="n">
        <v>58</v>
      </c>
      <c r="B59" s="5" t="s">
        <v>179</v>
      </c>
      <c r="C59" s="5" t="n">
        <v>0</v>
      </c>
      <c r="D59" s="5" t="n">
        <v>0</v>
      </c>
      <c r="E59" s="5" t="n">
        <v>1</v>
      </c>
      <c r="F59" s="5" t="n">
        <v>0</v>
      </c>
      <c r="G59" s="5" t="n">
        <v>0</v>
      </c>
      <c r="H59" s="5" t="n">
        <v>1</v>
      </c>
      <c r="I59" s="5" t="n">
        <v>1</v>
      </c>
      <c r="J59" s="5" t="n">
        <v>1</v>
      </c>
      <c r="K59" s="5"/>
      <c r="L59" s="5"/>
      <c r="M59" s="5" t="s">
        <v>1071</v>
      </c>
      <c r="N59" s="5" t="s">
        <v>1072</v>
      </c>
      <c r="O59" s="5" t="s">
        <v>10</v>
      </c>
      <c r="P59" s="5"/>
      <c r="Q59" s="5"/>
      <c r="R59" s="5"/>
      <c r="S59" s="5"/>
      <c r="T59" s="5"/>
      <c r="U59" s="5"/>
      <c r="V59" s="5"/>
      <c r="W59" s="5"/>
      <c r="X59" s="5"/>
      <c r="Y59" s="5"/>
      <c r="Z59" s="5"/>
    </row>
    <row r="60" customFormat="false" ht="15" hidden="false" customHeight="false" outlineLevel="0" collapsed="false">
      <c r="A60" s="1" t="n">
        <v>59</v>
      </c>
      <c r="B60" s="1" t="s">
        <v>181</v>
      </c>
      <c r="C60" s="1" t="n">
        <v>1</v>
      </c>
      <c r="D60" s="1" t="n">
        <v>1</v>
      </c>
      <c r="E60" s="1" t="n">
        <v>0</v>
      </c>
      <c r="F60" s="1" t="n">
        <v>0</v>
      </c>
      <c r="G60" s="1" t="n">
        <v>0</v>
      </c>
      <c r="H60" s="1" t="n">
        <v>1</v>
      </c>
      <c r="I60" s="1" t="n">
        <v>0</v>
      </c>
      <c r="J60" s="1" t="n">
        <v>1</v>
      </c>
      <c r="K60" s="1" t="n">
        <v>2</v>
      </c>
      <c r="L60" s="1" t="n">
        <v>1</v>
      </c>
      <c r="O60" s="1" t="s">
        <v>1073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52" min="3" style="1" width="14"/>
  </cols>
  <sheetData>
    <row r="1" customFormat="false" ht="34" hidden="false" customHeight="true" outlineLevel="0" collapsed="false">
      <c r="A1" s="6" t="s">
        <v>805</v>
      </c>
      <c r="B1" s="5" t="s">
        <v>1012</v>
      </c>
      <c r="C1" s="5" t="s">
        <v>1074</v>
      </c>
      <c r="D1" s="5" t="s">
        <v>1075</v>
      </c>
      <c r="E1" s="5" t="s">
        <v>1076</v>
      </c>
      <c r="F1" s="5" t="s">
        <v>1077</v>
      </c>
      <c r="G1" s="5" t="s">
        <v>1078</v>
      </c>
      <c r="H1" s="5" t="s">
        <v>1079</v>
      </c>
      <c r="I1" s="5" t="s">
        <v>1080</v>
      </c>
      <c r="J1" s="5" t="s">
        <v>1081</v>
      </c>
      <c r="K1" s="5" t="s">
        <v>1082</v>
      </c>
      <c r="L1" s="5" t="s">
        <v>1083</v>
      </c>
      <c r="M1" s="5" t="s">
        <v>1084</v>
      </c>
      <c r="N1" s="5" t="s">
        <v>1023</v>
      </c>
      <c r="O1" s="5" t="s">
        <v>1085</v>
      </c>
      <c r="P1" s="5" t="s">
        <v>1086</v>
      </c>
      <c r="Q1" s="5" t="s">
        <v>1087</v>
      </c>
      <c r="R1" s="5" t="s">
        <v>1088</v>
      </c>
      <c r="S1" s="5" t="s">
        <v>1089</v>
      </c>
      <c r="T1" s="5" t="s">
        <v>1090</v>
      </c>
      <c r="U1" s="5" t="s">
        <v>1091</v>
      </c>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n">
        <v>0</v>
      </c>
      <c r="D2" s="5" t="n">
        <v>0</v>
      </c>
      <c r="E2" s="5" t="n">
        <v>0</v>
      </c>
      <c r="F2" s="5" t="n">
        <v>0</v>
      </c>
      <c r="G2" s="5" t="n">
        <v>0</v>
      </c>
      <c r="H2" s="5" t="n">
        <v>1</v>
      </c>
      <c r="I2" s="5" t="n">
        <v>0</v>
      </c>
      <c r="J2" s="5" t="n">
        <v>0</v>
      </c>
      <c r="K2" s="5" t="n">
        <v>0</v>
      </c>
      <c r="L2" s="5" t="n">
        <v>1</v>
      </c>
      <c r="M2" s="5" t="n">
        <v>0</v>
      </c>
      <c r="N2" s="5" t="n">
        <v>1</v>
      </c>
      <c r="O2" s="5" t="n">
        <v>0</v>
      </c>
      <c r="P2" s="5" t="n">
        <v>0</v>
      </c>
      <c r="Q2" s="5" t="n">
        <v>0</v>
      </c>
      <c r="R2" s="5" t="n">
        <v>0</v>
      </c>
      <c r="S2" s="5" t="n">
        <v>0</v>
      </c>
      <c r="T2" s="5" t="n">
        <v>0</v>
      </c>
      <c r="U2" s="5" t="n">
        <v>0</v>
      </c>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n">
        <v>0</v>
      </c>
      <c r="D3" s="5" t="n">
        <v>0</v>
      </c>
      <c r="E3" s="5" t="n">
        <v>0</v>
      </c>
      <c r="F3" s="5" t="n">
        <v>0</v>
      </c>
      <c r="G3" s="5" t="n">
        <v>0</v>
      </c>
      <c r="H3" s="5" t="n">
        <v>1</v>
      </c>
      <c r="I3" s="5" t="n">
        <v>0</v>
      </c>
      <c r="J3" s="5" t="n">
        <v>0</v>
      </c>
      <c r="K3" s="5" t="n">
        <v>0</v>
      </c>
      <c r="L3" s="5" t="n">
        <v>1</v>
      </c>
      <c r="M3" s="5" t="n">
        <v>0</v>
      </c>
      <c r="N3" s="5" t="n">
        <v>1</v>
      </c>
      <c r="O3" s="5" t="n">
        <v>0</v>
      </c>
      <c r="P3" s="5" t="n">
        <v>0</v>
      </c>
      <c r="Q3" s="5" t="n">
        <v>0</v>
      </c>
      <c r="R3" s="5" t="n">
        <v>0</v>
      </c>
      <c r="S3" s="5" t="n">
        <v>0</v>
      </c>
      <c r="T3" s="5" t="n">
        <v>0</v>
      </c>
      <c r="U3" s="5" t="n">
        <v>0</v>
      </c>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n">
        <v>0</v>
      </c>
      <c r="D4" s="5" t="n">
        <v>0</v>
      </c>
      <c r="E4" s="5" t="n">
        <v>1</v>
      </c>
      <c r="F4" s="5" t="n">
        <v>0</v>
      </c>
      <c r="G4" s="5" t="n">
        <v>0</v>
      </c>
      <c r="H4" s="5" t="n">
        <v>1</v>
      </c>
      <c r="I4" s="5" t="n">
        <v>0</v>
      </c>
      <c r="J4" s="5" t="n">
        <v>0</v>
      </c>
      <c r="K4" s="5" t="n">
        <v>0</v>
      </c>
      <c r="L4" s="5" t="n">
        <v>0</v>
      </c>
      <c r="M4" s="5" t="n">
        <v>0</v>
      </c>
      <c r="N4" s="5" t="n">
        <v>0</v>
      </c>
      <c r="O4" s="5" t="n">
        <v>0</v>
      </c>
      <c r="P4" s="5" t="n">
        <v>0</v>
      </c>
      <c r="Q4" s="5" t="n">
        <v>0</v>
      </c>
      <c r="R4" s="5" t="n">
        <v>0</v>
      </c>
      <c r="S4" s="5" t="n">
        <v>0</v>
      </c>
      <c r="T4" s="5" t="n">
        <v>0</v>
      </c>
      <c r="U4" s="5" t="n">
        <v>0</v>
      </c>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n">
        <v>1</v>
      </c>
      <c r="D5" s="5" t="n">
        <v>0</v>
      </c>
      <c r="E5" s="5" t="n">
        <v>1</v>
      </c>
      <c r="F5" s="5" t="n">
        <v>0</v>
      </c>
      <c r="G5" s="5" t="n">
        <v>0</v>
      </c>
      <c r="H5" s="5" t="n">
        <v>0</v>
      </c>
      <c r="I5" s="5" t="n">
        <v>0</v>
      </c>
      <c r="J5" s="5" t="n">
        <v>0</v>
      </c>
      <c r="K5" s="5" t="n">
        <v>0</v>
      </c>
      <c r="L5" s="5" t="n">
        <v>0</v>
      </c>
      <c r="M5" s="5" t="n">
        <v>0</v>
      </c>
      <c r="N5" s="5" t="n">
        <v>0</v>
      </c>
      <c r="O5" s="5" t="n">
        <v>0</v>
      </c>
      <c r="P5" s="5" t="n">
        <v>0</v>
      </c>
      <c r="Q5" s="5" t="n">
        <v>0</v>
      </c>
      <c r="R5" s="5" t="n">
        <v>0</v>
      </c>
      <c r="S5" s="5" t="n">
        <v>0</v>
      </c>
      <c r="T5" s="5" t="n">
        <v>0</v>
      </c>
      <c r="U5" s="5" t="n">
        <v>0</v>
      </c>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n">
        <v>0</v>
      </c>
      <c r="D6" s="5" t="n">
        <v>0</v>
      </c>
      <c r="E6" s="5" t="n">
        <v>0</v>
      </c>
      <c r="F6" s="5" t="n">
        <v>0</v>
      </c>
      <c r="G6" s="5" t="n">
        <v>0</v>
      </c>
      <c r="H6" s="5" t="n">
        <v>1</v>
      </c>
      <c r="I6" s="5" t="n">
        <v>0</v>
      </c>
      <c r="J6" s="5" t="n">
        <v>0</v>
      </c>
      <c r="K6" s="5" t="n">
        <v>0</v>
      </c>
      <c r="L6" s="5" t="n">
        <v>0</v>
      </c>
      <c r="M6" s="5" t="n">
        <v>0</v>
      </c>
      <c r="N6" s="5" t="n">
        <v>0</v>
      </c>
      <c r="O6" s="5" t="n">
        <v>0</v>
      </c>
      <c r="P6" s="5" t="n">
        <v>0</v>
      </c>
      <c r="Q6" s="5" t="n">
        <v>0</v>
      </c>
      <c r="R6" s="5" t="n">
        <v>0</v>
      </c>
      <c r="S6" s="5" t="n">
        <v>0</v>
      </c>
      <c r="T6" s="5" t="n">
        <v>0</v>
      </c>
      <c r="U6" s="5" t="n">
        <v>0</v>
      </c>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23.85" hidden="false" customHeight="false" outlineLevel="0" collapsed="false">
      <c r="A7" s="5" t="n">
        <v>6</v>
      </c>
      <c r="B7" s="5" t="s">
        <v>839</v>
      </c>
      <c r="C7" s="5" t="n">
        <v>0</v>
      </c>
      <c r="D7" s="5" t="n">
        <v>0</v>
      </c>
      <c r="E7" s="5" t="n">
        <v>1</v>
      </c>
      <c r="F7" s="5" t="n">
        <v>0</v>
      </c>
      <c r="G7" s="5" t="n">
        <v>0</v>
      </c>
      <c r="H7" s="5" t="n">
        <v>0</v>
      </c>
      <c r="I7" s="5" t="n">
        <v>0</v>
      </c>
      <c r="J7" s="5" t="n">
        <v>0</v>
      </c>
      <c r="K7" s="5" t="n">
        <v>0</v>
      </c>
      <c r="L7" s="5" t="n">
        <v>0</v>
      </c>
      <c r="M7" s="5" t="n">
        <v>0</v>
      </c>
      <c r="N7" s="5" t="n">
        <v>0</v>
      </c>
      <c r="O7" s="5" t="n">
        <v>0</v>
      </c>
      <c r="P7" s="5" t="n">
        <v>0</v>
      </c>
      <c r="Q7" s="5" t="n">
        <v>0</v>
      </c>
      <c r="R7" s="5" t="n">
        <v>0</v>
      </c>
      <c r="S7" s="5" t="n">
        <v>0</v>
      </c>
      <c r="T7" s="5" t="n">
        <v>0</v>
      </c>
      <c r="U7" s="5" t="n">
        <v>0</v>
      </c>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n">
        <v>0</v>
      </c>
      <c r="D8" s="5" t="n">
        <v>0</v>
      </c>
      <c r="E8" s="5" t="n">
        <v>0</v>
      </c>
      <c r="F8" s="5" t="n">
        <v>1</v>
      </c>
      <c r="G8" s="5" t="n">
        <v>0</v>
      </c>
      <c r="H8" s="5" t="n">
        <v>1</v>
      </c>
      <c r="I8" s="5" t="n">
        <v>0</v>
      </c>
      <c r="J8" s="5" t="n">
        <v>0</v>
      </c>
      <c r="K8" s="5" t="n">
        <v>0</v>
      </c>
      <c r="L8" s="5" t="n">
        <v>0</v>
      </c>
      <c r="M8" s="5" t="n">
        <v>0</v>
      </c>
      <c r="N8" s="5" t="n">
        <v>1</v>
      </c>
      <c r="O8" s="5" t="n">
        <v>0</v>
      </c>
      <c r="P8" s="5" t="n">
        <v>0</v>
      </c>
      <c r="Q8" s="5" t="n">
        <v>0</v>
      </c>
      <c r="R8" s="5" t="n">
        <v>0</v>
      </c>
      <c r="S8" s="5" t="n">
        <v>0</v>
      </c>
      <c r="T8" s="5" t="n">
        <v>0</v>
      </c>
      <c r="U8" s="5" t="n">
        <v>0</v>
      </c>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23.85" hidden="false" customHeight="false" outlineLevel="0" collapsed="false">
      <c r="A9" s="5" t="n">
        <v>8</v>
      </c>
      <c r="B9" s="5" t="s">
        <v>847</v>
      </c>
      <c r="C9" s="5" t="n">
        <v>1</v>
      </c>
      <c r="D9" s="5" t="n">
        <v>0</v>
      </c>
      <c r="E9" s="5" t="n">
        <v>1</v>
      </c>
      <c r="F9" s="5" t="n">
        <v>0</v>
      </c>
      <c r="G9" s="5" t="n">
        <v>0</v>
      </c>
      <c r="H9" s="5" t="n">
        <v>0</v>
      </c>
      <c r="I9" s="5" t="n">
        <v>1</v>
      </c>
      <c r="J9" s="5" t="n">
        <v>0</v>
      </c>
      <c r="K9" s="5" t="n">
        <v>0</v>
      </c>
      <c r="L9" s="5" t="n">
        <v>0</v>
      </c>
      <c r="M9" s="5" t="n">
        <v>0</v>
      </c>
      <c r="N9" s="5" t="n">
        <v>1</v>
      </c>
      <c r="O9" s="5" t="n">
        <v>0</v>
      </c>
      <c r="P9" s="5" t="n">
        <v>0</v>
      </c>
      <c r="Q9" s="5" t="n">
        <v>0</v>
      </c>
      <c r="R9" s="5" t="n">
        <v>0</v>
      </c>
      <c r="S9" s="5" t="n">
        <v>0</v>
      </c>
      <c r="T9" s="5" t="n">
        <v>0</v>
      </c>
      <c r="U9" s="5" t="n">
        <v>0</v>
      </c>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n">
        <v>1</v>
      </c>
      <c r="D10" s="5" t="n">
        <v>0</v>
      </c>
      <c r="E10" s="5" t="n">
        <v>0</v>
      </c>
      <c r="F10" s="5" t="n">
        <v>0</v>
      </c>
      <c r="G10" s="5" t="n">
        <v>0</v>
      </c>
      <c r="H10" s="5" t="n">
        <v>1</v>
      </c>
      <c r="I10" s="5" t="n">
        <v>0</v>
      </c>
      <c r="J10" s="5" t="n">
        <v>0</v>
      </c>
      <c r="K10" s="5" t="n">
        <v>1</v>
      </c>
      <c r="L10" s="5" t="n">
        <v>1</v>
      </c>
      <c r="M10" s="5" t="n">
        <v>0</v>
      </c>
      <c r="N10" s="5" t="n">
        <v>0</v>
      </c>
      <c r="O10" s="5" t="n">
        <v>0</v>
      </c>
      <c r="P10" s="5" t="n">
        <v>0</v>
      </c>
      <c r="Q10" s="5" t="n">
        <v>0</v>
      </c>
      <c r="R10" s="5" t="n">
        <v>0</v>
      </c>
      <c r="S10" s="5" t="n">
        <v>0</v>
      </c>
      <c r="T10" s="5" t="n">
        <v>0</v>
      </c>
      <c r="U10" s="5" t="n">
        <v>0</v>
      </c>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n">
        <v>1</v>
      </c>
      <c r="D11" s="5" t="n">
        <v>0</v>
      </c>
      <c r="E11" s="5" t="n">
        <v>0</v>
      </c>
      <c r="F11" s="5" t="n">
        <v>0</v>
      </c>
      <c r="G11" s="5" t="n">
        <v>0</v>
      </c>
      <c r="H11" s="5" t="n">
        <v>1</v>
      </c>
      <c r="I11" s="5" t="n">
        <v>0</v>
      </c>
      <c r="J11" s="5" t="n">
        <v>0</v>
      </c>
      <c r="K11" s="5" t="n">
        <v>0</v>
      </c>
      <c r="L11" s="5" t="n">
        <v>1</v>
      </c>
      <c r="M11" s="5" t="n">
        <v>0</v>
      </c>
      <c r="N11" s="5" t="n">
        <v>0</v>
      </c>
      <c r="O11" s="5" t="n">
        <v>0</v>
      </c>
      <c r="P11" s="5" t="n">
        <v>0</v>
      </c>
      <c r="Q11" s="5" t="n">
        <v>0</v>
      </c>
      <c r="R11" s="5" t="n">
        <v>0</v>
      </c>
      <c r="S11" s="5" t="n">
        <v>0</v>
      </c>
      <c r="T11" s="5" t="n">
        <v>0</v>
      </c>
      <c r="U11" s="5" t="n">
        <v>0</v>
      </c>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n">
        <v>0</v>
      </c>
      <c r="D12" s="5" t="n">
        <v>0</v>
      </c>
      <c r="E12" s="5" t="n">
        <v>0</v>
      </c>
      <c r="F12" s="5" t="n">
        <v>0</v>
      </c>
      <c r="G12" s="5" t="n">
        <v>0</v>
      </c>
      <c r="H12" s="5" t="n">
        <v>1</v>
      </c>
      <c r="I12" s="5" t="n">
        <v>0</v>
      </c>
      <c r="J12" s="5" t="n">
        <v>0</v>
      </c>
      <c r="K12" s="5" t="n">
        <v>0</v>
      </c>
      <c r="L12" s="5" t="n">
        <v>0</v>
      </c>
      <c r="M12" s="5" t="n">
        <v>0</v>
      </c>
      <c r="N12" s="5" t="n">
        <v>1</v>
      </c>
      <c r="O12" s="5" t="n">
        <v>0</v>
      </c>
      <c r="P12" s="5" t="n">
        <v>0</v>
      </c>
      <c r="Q12" s="5" t="n">
        <v>0</v>
      </c>
      <c r="R12" s="5" t="n">
        <v>0</v>
      </c>
      <c r="S12" s="5" t="n">
        <v>0</v>
      </c>
      <c r="T12" s="5" t="n">
        <v>0</v>
      </c>
      <c r="U12" s="5" t="n">
        <v>0</v>
      </c>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n">
        <v>1</v>
      </c>
      <c r="D13" s="5" t="n">
        <v>0</v>
      </c>
      <c r="E13" s="5" t="n">
        <v>0</v>
      </c>
      <c r="F13" s="5" t="n">
        <v>0</v>
      </c>
      <c r="G13" s="5" t="n">
        <v>0</v>
      </c>
      <c r="H13" s="5" t="n">
        <v>1</v>
      </c>
      <c r="I13" s="5" t="n">
        <v>0</v>
      </c>
      <c r="J13" s="5" t="n">
        <v>0</v>
      </c>
      <c r="K13" s="5" t="n">
        <v>0</v>
      </c>
      <c r="L13" s="5" t="n">
        <v>0</v>
      </c>
      <c r="M13" s="5" t="n">
        <v>0</v>
      </c>
      <c r="N13" s="5" t="n">
        <v>0</v>
      </c>
      <c r="O13" s="5" t="n">
        <v>0</v>
      </c>
      <c r="P13" s="5" t="n">
        <v>0</v>
      </c>
      <c r="Q13" s="5" t="n">
        <v>0</v>
      </c>
      <c r="R13" s="5" t="n">
        <v>0</v>
      </c>
      <c r="S13" s="5" t="n">
        <v>0</v>
      </c>
      <c r="T13" s="5" t="n">
        <v>0</v>
      </c>
      <c r="U13" s="5" t="n">
        <v>0</v>
      </c>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23.85" hidden="false" customHeight="false" outlineLevel="0" collapsed="false">
      <c r="A14" s="5" t="n">
        <v>13</v>
      </c>
      <c r="B14" s="5" t="s">
        <v>860</v>
      </c>
      <c r="C14" s="5" t="n">
        <v>1</v>
      </c>
      <c r="D14" s="5" t="n">
        <v>0</v>
      </c>
      <c r="E14" s="5" t="n">
        <v>0</v>
      </c>
      <c r="F14" s="5" t="n">
        <v>0</v>
      </c>
      <c r="G14" s="5" t="n">
        <v>1</v>
      </c>
      <c r="H14" s="5" t="n">
        <v>1</v>
      </c>
      <c r="I14" s="5" t="n">
        <v>0</v>
      </c>
      <c r="J14" s="5" t="n">
        <v>0</v>
      </c>
      <c r="K14" s="5" t="n">
        <v>0</v>
      </c>
      <c r="L14" s="5" t="n">
        <v>1</v>
      </c>
      <c r="M14" s="5" t="n">
        <v>0</v>
      </c>
      <c r="N14" s="5" t="n">
        <v>0</v>
      </c>
      <c r="O14" s="5" t="n">
        <v>0</v>
      </c>
      <c r="P14" s="5" t="n">
        <v>0</v>
      </c>
      <c r="Q14" s="5" t="n">
        <v>0</v>
      </c>
      <c r="R14" s="5" t="n">
        <v>0</v>
      </c>
      <c r="S14" s="5" t="n">
        <v>1</v>
      </c>
      <c r="T14" s="5" t="n">
        <v>0</v>
      </c>
      <c r="U14" s="5" t="n">
        <v>0</v>
      </c>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23.85" hidden="false" customHeight="false" outlineLevel="0" collapsed="false">
      <c r="A15" s="5" t="n">
        <v>14</v>
      </c>
      <c r="B15" s="5" t="s">
        <v>864</v>
      </c>
      <c r="C15" s="5" t="n">
        <v>1</v>
      </c>
      <c r="D15" s="5" t="n">
        <v>0</v>
      </c>
      <c r="E15" s="5" t="n">
        <v>0</v>
      </c>
      <c r="F15" s="5" t="n">
        <v>0</v>
      </c>
      <c r="G15" s="5" t="n">
        <v>0</v>
      </c>
      <c r="H15" s="5" t="n">
        <v>1</v>
      </c>
      <c r="I15" s="5" t="n">
        <v>0</v>
      </c>
      <c r="J15" s="5" t="n">
        <v>0</v>
      </c>
      <c r="K15" s="5" t="n">
        <v>0</v>
      </c>
      <c r="L15" s="5" t="n">
        <v>1</v>
      </c>
      <c r="M15" s="5" t="n">
        <v>0</v>
      </c>
      <c r="N15" s="5" t="n">
        <v>0</v>
      </c>
      <c r="O15" s="5" t="n">
        <v>0</v>
      </c>
      <c r="P15" s="5" t="n">
        <v>0</v>
      </c>
      <c r="Q15" s="5" t="n">
        <v>0</v>
      </c>
      <c r="R15" s="5" t="n">
        <v>0</v>
      </c>
      <c r="S15" s="5" t="n">
        <v>0</v>
      </c>
      <c r="T15" s="5" t="n">
        <v>0</v>
      </c>
      <c r="U15" s="5" t="n">
        <v>0</v>
      </c>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n">
        <v>0</v>
      </c>
      <c r="D16" s="5" t="n">
        <v>0</v>
      </c>
      <c r="E16" s="5" t="n">
        <v>0</v>
      </c>
      <c r="F16" s="5" t="n">
        <v>0</v>
      </c>
      <c r="G16" s="5" t="n">
        <v>1</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23.85" hidden="false" customHeight="false" outlineLevel="0" collapsed="false">
      <c r="A17" s="5" t="n">
        <v>16</v>
      </c>
      <c r="B17" s="5" t="s">
        <v>869</v>
      </c>
      <c r="C17" s="5" t="n">
        <v>1</v>
      </c>
      <c r="D17" s="5" t="n">
        <v>0</v>
      </c>
      <c r="E17" s="5" t="n">
        <v>0</v>
      </c>
      <c r="F17" s="5" t="n">
        <v>1</v>
      </c>
      <c r="G17" s="5" t="n">
        <v>0</v>
      </c>
      <c r="H17" s="5" t="n">
        <v>1</v>
      </c>
      <c r="I17" s="5" t="n">
        <v>0</v>
      </c>
      <c r="J17" s="5" t="n">
        <v>0</v>
      </c>
      <c r="K17" s="5" t="n">
        <v>0</v>
      </c>
      <c r="L17" s="5" t="n">
        <v>0</v>
      </c>
      <c r="M17" s="5" t="n">
        <v>0</v>
      </c>
      <c r="N17" s="5" t="n">
        <v>1</v>
      </c>
      <c r="O17" s="5" t="n">
        <v>0</v>
      </c>
      <c r="P17" s="5" t="n">
        <v>0</v>
      </c>
      <c r="Q17" s="5" t="n">
        <v>0</v>
      </c>
      <c r="R17" s="5" t="n">
        <v>0</v>
      </c>
      <c r="S17" s="5" t="n">
        <v>0</v>
      </c>
      <c r="T17" s="5" t="n">
        <v>0</v>
      </c>
      <c r="U17" s="5" t="n">
        <v>0</v>
      </c>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n">
        <v>0</v>
      </c>
      <c r="D18" s="5" t="n">
        <v>0</v>
      </c>
      <c r="E18" s="5" t="n">
        <v>0</v>
      </c>
      <c r="F18" s="5" t="n">
        <v>0</v>
      </c>
      <c r="G18" s="5" t="n">
        <v>0</v>
      </c>
      <c r="H18" s="5" t="n">
        <v>0</v>
      </c>
      <c r="I18" s="5" t="n">
        <v>0</v>
      </c>
      <c r="J18" s="5" t="n">
        <v>0</v>
      </c>
      <c r="K18" s="5" t="n">
        <v>0</v>
      </c>
      <c r="L18" s="5" t="n">
        <v>0</v>
      </c>
      <c r="M18" s="5" t="n">
        <v>0</v>
      </c>
      <c r="N18" s="5" t="n">
        <v>1</v>
      </c>
      <c r="O18" s="5" t="n">
        <v>0</v>
      </c>
      <c r="P18" s="5" t="n">
        <v>0</v>
      </c>
      <c r="Q18" s="5" t="n">
        <v>0</v>
      </c>
      <c r="R18" s="5" t="n">
        <v>1</v>
      </c>
      <c r="S18" s="5" t="n">
        <v>0</v>
      </c>
      <c r="T18" s="5" t="n">
        <v>0</v>
      </c>
      <c r="U18" s="5" t="n">
        <v>0</v>
      </c>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n">
        <v>1</v>
      </c>
      <c r="D19" s="5" t="n">
        <v>0</v>
      </c>
      <c r="E19" s="5" t="n">
        <v>0</v>
      </c>
      <c r="F19" s="5" t="n">
        <v>0</v>
      </c>
      <c r="G19" s="5" t="n">
        <v>0</v>
      </c>
      <c r="H19" s="5" t="n">
        <v>0</v>
      </c>
      <c r="I19" s="5" t="n">
        <v>0</v>
      </c>
      <c r="J19" s="5" t="n">
        <v>0</v>
      </c>
      <c r="K19" s="5" t="n">
        <v>0</v>
      </c>
      <c r="L19" s="5" t="n">
        <v>0</v>
      </c>
      <c r="M19" s="5" t="n">
        <v>0</v>
      </c>
      <c r="N19" s="5" t="n">
        <v>0</v>
      </c>
      <c r="O19" s="5" t="n">
        <v>0</v>
      </c>
      <c r="P19" s="5" t="n">
        <v>0</v>
      </c>
      <c r="Q19" s="5" t="n">
        <v>0</v>
      </c>
      <c r="R19" s="5" t="n">
        <v>0</v>
      </c>
      <c r="S19" s="5" t="n">
        <v>0</v>
      </c>
      <c r="T19" s="5" t="n">
        <v>0</v>
      </c>
      <c r="U19" s="5" t="n">
        <v>0</v>
      </c>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23.85" hidden="false" customHeight="false" outlineLevel="0" collapsed="false">
      <c r="A20" s="5" t="n">
        <v>19</v>
      </c>
      <c r="B20" s="5" t="s">
        <v>882</v>
      </c>
      <c r="C20" s="5" t="n">
        <v>1</v>
      </c>
      <c r="D20" s="5" t="n">
        <v>0</v>
      </c>
      <c r="E20" s="5" t="n">
        <v>0</v>
      </c>
      <c r="F20" s="5" t="n">
        <v>0</v>
      </c>
      <c r="G20" s="5" t="n">
        <v>0</v>
      </c>
      <c r="H20" s="5" t="n">
        <v>1</v>
      </c>
      <c r="I20" s="5" t="n">
        <v>0</v>
      </c>
      <c r="J20" s="5" t="n">
        <v>0</v>
      </c>
      <c r="K20" s="5" t="n">
        <v>0</v>
      </c>
      <c r="L20" s="5" t="n">
        <v>0</v>
      </c>
      <c r="M20" s="5" t="n">
        <v>0</v>
      </c>
      <c r="N20" s="5" t="n">
        <v>0</v>
      </c>
      <c r="O20" s="5" t="n">
        <v>0</v>
      </c>
      <c r="P20" s="5" t="n">
        <v>0</v>
      </c>
      <c r="Q20" s="5" t="n">
        <v>0</v>
      </c>
      <c r="R20" s="5" t="n">
        <v>0</v>
      </c>
      <c r="S20" s="5" t="n">
        <v>0</v>
      </c>
      <c r="T20" s="5" t="n">
        <v>0</v>
      </c>
      <c r="U20" s="5" t="n">
        <v>0</v>
      </c>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n">
        <v>0</v>
      </c>
      <c r="D21" s="5" t="n">
        <v>0</v>
      </c>
      <c r="E21" s="5" t="n">
        <v>0</v>
      </c>
      <c r="F21" s="5" t="n">
        <v>0</v>
      </c>
      <c r="G21" s="5" t="n">
        <v>0</v>
      </c>
      <c r="H21" s="5" t="n">
        <v>1</v>
      </c>
      <c r="I21" s="5" t="n">
        <v>0</v>
      </c>
      <c r="J21" s="5" t="n">
        <v>0</v>
      </c>
      <c r="K21" s="5" t="n">
        <v>0</v>
      </c>
      <c r="L21" s="5" t="n">
        <v>0</v>
      </c>
      <c r="M21" s="5" t="n">
        <v>0</v>
      </c>
      <c r="N21" s="5" t="n">
        <v>0</v>
      </c>
      <c r="O21" s="5" t="n">
        <v>0</v>
      </c>
      <c r="P21" s="5" t="n">
        <v>0</v>
      </c>
      <c r="Q21" s="5" t="n">
        <v>0</v>
      </c>
      <c r="R21" s="5" t="n">
        <v>0</v>
      </c>
      <c r="S21" s="5" t="n">
        <v>0</v>
      </c>
      <c r="T21" s="5" t="n">
        <v>0</v>
      </c>
      <c r="U21" s="5" t="n">
        <v>0</v>
      </c>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15" hidden="false" customHeight="false" outlineLevel="0" collapsed="false">
      <c r="A22" s="5" t="n">
        <v>21</v>
      </c>
      <c r="B22" s="5" t="s">
        <v>102</v>
      </c>
      <c r="C22" s="5" t="n">
        <v>0</v>
      </c>
      <c r="D22" s="5" t="n">
        <v>0</v>
      </c>
      <c r="E22" s="5" t="n">
        <v>0</v>
      </c>
      <c r="F22" s="5" t="n">
        <v>0</v>
      </c>
      <c r="G22" s="5" t="n">
        <v>0</v>
      </c>
      <c r="H22" s="5" t="n">
        <v>1</v>
      </c>
      <c r="I22" s="5" t="n">
        <v>0</v>
      </c>
      <c r="J22" s="5" t="n">
        <v>0</v>
      </c>
      <c r="K22" s="5" t="n">
        <v>1</v>
      </c>
      <c r="L22" s="5" t="n">
        <v>0</v>
      </c>
      <c r="M22" s="5" t="n">
        <v>0</v>
      </c>
      <c r="N22" s="5" t="n">
        <v>1</v>
      </c>
      <c r="O22" s="5" t="n">
        <v>0</v>
      </c>
      <c r="P22" s="5" t="n">
        <v>0</v>
      </c>
      <c r="Q22" s="5" t="n">
        <v>0</v>
      </c>
      <c r="R22" s="5" t="n">
        <v>0</v>
      </c>
      <c r="S22" s="5" t="n">
        <v>0</v>
      </c>
      <c r="T22" s="5" t="n">
        <v>0</v>
      </c>
      <c r="U22" s="5" t="n">
        <v>0</v>
      </c>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23.85" hidden="false" customHeight="false" outlineLevel="0" collapsed="false">
      <c r="A23" s="5" t="n">
        <v>22</v>
      </c>
      <c r="B23" s="5" t="s">
        <v>892</v>
      </c>
      <c r="C23" s="5" t="n">
        <v>0</v>
      </c>
      <c r="D23" s="5" t="n">
        <v>0</v>
      </c>
      <c r="E23" s="5" t="n">
        <v>0</v>
      </c>
      <c r="F23" s="5" t="n">
        <v>0</v>
      </c>
      <c r="G23" s="5" t="n">
        <v>0</v>
      </c>
      <c r="H23" s="5" t="n">
        <v>1</v>
      </c>
      <c r="I23" s="5" t="n">
        <v>1</v>
      </c>
      <c r="J23" s="5" t="n">
        <v>1</v>
      </c>
      <c r="K23" s="5" t="n">
        <v>1</v>
      </c>
      <c r="L23" s="5" t="n">
        <v>1</v>
      </c>
      <c r="M23" s="5" t="n">
        <v>0</v>
      </c>
      <c r="N23" s="5" t="n">
        <v>0</v>
      </c>
      <c r="O23" s="5" t="n">
        <v>0</v>
      </c>
      <c r="P23" s="5" t="n">
        <v>0</v>
      </c>
      <c r="Q23" s="5" t="n">
        <v>0</v>
      </c>
      <c r="R23" s="5" t="n">
        <v>0</v>
      </c>
      <c r="S23" s="5" t="n">
        <v>0</v>
      </c>
      <c r="T23" s="5" t="n">
        <v>0</v>
      </c>
      <c r="U23" s="5" t="n">
        <v>0</v>
      </c>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n">
        <v>0</v>
      </c>
      <c r="D24" s="5" t="n">
        <v>0</v>
      </c>
      <c r="E24" s="5" t="n">
        <v>0</v>
      </c>
      <c r="F24" s="5" t="n">
        <v>0</v>
      </c>
      <c r="G24" s="5" t="n">
        <v>0</v>
      </c>
      <c r="H24" s="5" t="n">
        <v>1</v>
      </c>
      <c r="I24" s="5" t="n">
        <v>0</v>
      </c>
      <c r="J24" s="5" t="n">
        <v>0</v>
      </c>
      <c r="K24" s="5" t="n">
        <v>0</v>
      </c>
      <c r="L24" s="5" t="n">
        <v>0</v>
      </c>
      <c r="M24" s="5" t="n">
        <v>0</v>
      </c>
      <c r="N24" s="5" t="n">
        <v>1</v>
      </c>
      <c r="O24" s="5" t="n">
        <v>0</v>
      </c>
      <c r="P24" s="5" t="n">
        <v>0</v>
      </c>
      <c r="Q24" s="5" t="n">
        <v>0</v>
      </c>
      <c r="R24" s="5" t="n">
        <v>0</v>
      </c>
      <c r="S24" s="5" t="n">
        <v>0</v>
      </c>
      <c r="T24" s="5" t="n">
        <v>0</v>
      </c>
      <c r="U24" s="5" t="n">
        <v>0</v>
      </c>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n">
        <v>0</v>
      </c>
      <c r="D25" s="5" t="n">
        <v>0</v>
      </c>
      <c r="E25" s="5" t="n">
        <v>0</v>
      </c>
      <c r="F25" s="5" t="n">
        <v>0</v>
      </c>
      <c r="G25" s="5" t="n">
        <v>0</v>
      </c>
      <c r="H25" s="5" t="n">
        <v>1</v>
      </c>
      <c r="I25" s="5" t="n">
        <v>0</v>
      </c>
      <c r="J25" s="5" t="n">
        <v>0</v>
      </c>
      <c r="K25" s="5" t="n">
        <v>1</v>
      </c>
      <c r="L25" s="5" t="n">
        <v>0</v>
      </c>
      <c r="M25" s="5" t="n">
        <v>0</v>
      </c>
      <c r="N25" s="5" t="n">
        <v>1</v>
      </c>
      <c r="O25" s="5" t="n">
        <v>0</v>
      </c>
      <c r="P25" s="5" t="n">
        <v>0</v>
      </c>
      <c r="Q25" s="5" t="n">
        <v>0</v>
      </c>
      <c r="R25" s="5" t="n">
        <v>0</v>
      </c>
      <c r="S25" s="5" t="n">
        <v>0</v>
      </c>
      <c r="T25" s="5" t="n">
        <v>0</v>
      </c>
      <c r="U25" s="5" t="n">
        <v>0</v>
      </c>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23.85" hidden="false" customHeight="false" outlineLevel="0" collapsed="false">
      <c r="A26" s="5" t="n">
        <v>25</v>
      </c>
      <c r="B26" s="5" t="s">
        <v>902</v>
      </c>
      <c r="C26" s="5" t="n">
        <v>1</v>
      </c>
      <c r="D26" s="5" t="n">
        <v>0</v>
      </c>
      <c r="E26" s="5" t="n">
        <v>0</v>
      </c>
      <c r="F26" s="5" t="n">
        <v>0</v>
      </c>
      <c r="G26" s="5" t="n">
        <v>0</v>
      </c>
      <c r="H26" s="5" t="n">
        <v>1</v>
      </c>
      <c r="I26" s="5" t="n">
        <v>0</v>
      </c>
      <c r="J26" s="5" t="n">
        <v>0</v>
      </c>
      <c r="K26" s="5" t="n">
        <v>0</v>
      </c>
      <c r="L26" s="5" t="n">
        <v>0</v>
      </c>
      <c r="M26" s="5" t="n">
        <v>0</v>
      </c>
      <c r="N26" s="5" t="n">
        <v>1</v>
      </c>
      <c r="O26" s="5" t="n">
        <v>0</v>
      </c>
      <c r="P26" s="5" t="n">
        <v>0</v>
      </c>
      <c r="Q26" s="5" t="n">
        <v>0</v>
      </c>
      <c r="R26" s="5" t="n">
        <v>0</v>
      </c>
      <c r="S26" s="5" t="n">
        <v>0</v>
      </c>
      <c r="T26" s="5" t="n">
        <v>0</v>
      </c>
      <c r="U26" s="5" t="n">
        <v>0</v>
      </c>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23.85" hidden="false" customHeight="false" outlineLevel="0" collapsed="false">
      <c r="A27" s="5" t="n">
        <v>26</v>
      </c>
      <c r="B27" s="5" t="s">
        <v>906</v>
      </c>
      <c r="C27" s="5" t="n">
        <v>1</v>
      </c>
      <c r="D27" s="5" t="n">
        <v>0</v>
      </c>
      <c r="E27" s="5" t="n">
        <v>0</v>
      </c>
      <c r="F27" s="5" t="n">
        <v>0</v>
      </c>
      <c r="G27" s="5" t="n">
        <v>0</v>
      </c>
      <c r="H27" s="5" t="n">
        <v>1</v>
      </c>
      <c r="I27" s="5" t="n">
        <v>0</v>
      </c>
      <c r="J27" s="5" t="n">
        <v>0</v>
      </c>
      <c r="K27" s="5" t="n">
        <v>0</v>
      </c>
      <c r="L27" s="5" t="n">
        <v>0</v>
      </c>
      <c r="M27" s="5" t="n">
        <v>0</v>
      </c>
      <c r="N27" s="5" t="n">
        <v>1</v>
      </c>
      <c r="O27" s="5" t="n">
        <v>0</v>
      </c>
      <c r="P27" s="5" t="n">
        <v>0</v>
      </c>
      <c r="Q27" s="5" t="n">
        <v>0</v>
      </c>
      <c r="R27" s="5" t="n">
        <v>0</v>
      </c>
      <c r="S27" s="5" t="n">
        <v>0</v>
      </c>
      <c r="T27" s="5" t="n">
        <v>0</v>
      </c>
      <c r="U27" s="5" t="n">
        <v>0</v>
      </c>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23.85" hidden="false" customHeight="false" outlineLevel="0" collapsed="false">
      <c r="A28" s="5" t="n">
        <v>27</v>
      </c>
      <c r="B28" s="5" t="s">
        <v>115</v>
      </c>
      <c r="C28" s="5" t="n">
        <v>0</v>
      </c>
      <c r="D28" s="5" t="n">
        <v>0</v>
      </c>
      <c r="E28" s="5" t="n">
        <v>1</v>
      </c>
      <c r="F28" s="5" t="n">
        <v>0</v>
      </c>
      <c r="G28" s="5" t="n">
        <v>1</v>
      </c>
      <c r="H28" s="5" t="n">
        <v>1</v>
      </c>
      <c r="I28" s="5" t="n">
        <v>0</v>
      </c>
      <c r="J28" s="5" t="n">
        <v>0</v>
      </c>
      <c r="K28" s="5" t="n">
        <v>1</v>
      </c>
      <c r="L28" s="5" t="n">
        <v>1</v>
      </c>
      <c r="M28" s="5" t="n">
        <v>0</v>
      </c>
      <c r="N28" s="5" t="n">
        <v>1</v>
      </c>
      <c r="O28" s="5" t="n">
        <v>0</v>
      </c>
      <c r="P28" s="5" t="n">
        <v>0</v>
      </c>
      <c r="Q28" s="5" t="n">
        <v>0</v>
      </c>
      <c r="R28" s="5" t="n">
        <v>0</v>
      </c>
      <c r="S28" s="5" t="n">
        <v>0</v>
      </c>
      <c r="T28" s="5" t="n">
        <v>0</v>
      </c>
      <c r="U28" s="5" t="n">
        <v>0</v>
      </c>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23.85" hidden="false" customHeight="false" outlineLevel="0" collapsed="false">
      <c r="A29" s="5" t="n">
        <v>28</v>
      </c>
      <c r="B29" s="5" t="s">
        <v>914</v>
      </c>
      <c r="C29" s="5" t="n">
        <v>0</v>
      </c>
      <c r="D29" s="5" t="n">
        <v>0</v>
      </c>
      <c r="E29" s="5" t="n">
        <v>0</v>
      </c>
      <c r="F29" s="5" t="n">
        <v>0</v>
      </c>
      <c r="G29" s="5" t="n">
        <v>1</v>
      </c>
      <c r="H29" s="5" t="n">
        <v>1</v>
      </c>
      <c r="I29" s="5" t="n">
        <v>0</v>
      </c>
      <c r="J29" s="5" t="n">
        <v>0</v>
      </c>
      <c r="K29" s="5" t="n">
        <v>1</v>
      </c>
      <c r="L29" s="5" t="n">
        <v>0</v>
      </c>
      <c r="M29" s="5" t="n">
        <v>0</v>
      </c>
      <c r="N29" s="5" t="n">
        <v>0</v>
      </c>
      <c r="O29" s="5" t="n">
        <v>0</v>
      </c>
      <c r="P29" s="5" t="n">
        <v>0</v>
      </c>
      <c r="Q29" s="5" t="n">
        <v>0</v>
      </c>
      <c r="R29" s="5" t="n">
        <v>0</v>
      </c>
      <c r="S29" s="5" t="n">
        <v>0</v>
      </c>
      <c r="T29" s="5" t="n">
        <v>0</v>
      </c>
      <c r="U29" s="5" t="n">
        <v>0</v>
      </c>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n">
        <v>0</v>
      </c>
      <c r="D30" s="5" t="n">
        <v>0</v>
      </c>
      <c r="E30" s="5" t="n">
        <v>0</v>
      </c>
      <c r="F30" s="5" t="n">
        <v>0</v>
      </c>
      <c r="G30" s="5" t="n">
        <v>0</v>
      </c>
      <c r="H30" s="5" t="n">
        <v>1</v>
      </c>
      <c r="I30" s="5" t="n">
        <v>0</v>
      </c>
      <c r="J30" s="5" t="n">
        <v>1</v>
      </c>
      <c r="K30" s="5" t="n">
        <v>0</v>
      </c>
      <c r="L30" s="5" t="n">
        <v>0</v>
      </c>
      <c r="M30" s="5" t="n">
        <v>0</v>
      </c>
      <c r="N30" s="5" t="n">
        <v>0</v>
      </c>
      <c r="O30" s="5" t="n">
        <v>0</v>
      </c>
      <c r="P30" s="5" t="n">
        <v>0</v>
      </c>
      <c r="Q30" s="5" t="n">
        <v>0</v>
      </c>
      <c r="R30" s="5" t="n">
        <v>0</v>
      </c>
      <c r="S30" s="5" t="n">
        <v>0</v>
      </c>
      <c r="T30" s="5" t="n">
        <v>0</v>
      </c>
      <c r="U30" s="5" t="n">
        <v>1</v>
      </c>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n">
        <v>0</v>
      </c>
      <c r="D31" s="5" t="n">
        <v>0</v>
      </c>
      <c r="E31" s="5" t="n">
        <v>0</v>
      </c>
      <c r="F31" s="5" t="n">
        <v>0</v>
      </c>
      <c r="G31" s="5" t="n">
        <v>0</v>
      </c>
      <c r="H31" s="5" t="n">
        <v>1</v>
      </c>
      <c r="I31" s="5" t="n">
        <v>0</v>
      </c>
      <c r="J31" s="5" t="n">
        <v>0</v>
      </c>
      <c r="K31" s="5" t="n">
        <v>0</v>
      </c>
      <c r="L31" s="5" t="n">
        <v>1</v>
      </c>
      <c r="M31" s="5" t="n">
        <v>0</v>
      </c>
      <c r="N31" s="5" t="n">
        <v>0</v>
      </c>
      <c r="O31" s="5" t="n">
        <v>0</v>
      </c>
      <c r="P31" s="5" t="n">
        <v>0</v>
      </c>
      <c r="Q31" s="5" t="n">
        <v>0</v>
      </c>
      <c r="R31" s="5" t="n">
        <v>0</v>
      </c>
      <c r="S31" s="5" t="n">
        <v>0</v>
      </c>
      <c r="T31" s="5" t="n">
        <v>0</v>
      </c>
      <c r="U31" s="5" t="n">
        <v>0</v>
      </c>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n">
        <v>0</v>
      </c>
      <c r="D32" s="5" t="n">
        <v>0</v>
      </c>
      <c r="E32" s="5" t="n">
        <v>0</v>
      </c>
      <c r="F32" s="5" t="n">
        <v>0</v>
      </c>
      <c r="G32" s="5" t="n">
        <v>0</v>
      </c>
      <c r="H32" s="5" t="n">
        <v>1</v>
      </c>
      <c r="I32" s="5" t="n">
        <v>0</v>
      </c>
      <c r="J32" s="5" t="n">
        <v>0</v>
      </c>
      <c r="K32" s="5" t="n">
        <v>0</v>
      </c>
      <c r="L32" s="5" t="n">
        <v>0</v>
      </c>
      <c r="M32" s="5" t="n">
        <v>0</v>
      </c>
      <c r="N32" s="5" t="n">
        <v>0</v>
      </c>
      <c r="O32" s="5" t="n">
        <v>0</v>
      </c>
      <c r="P32" s="5" t="n">
        <v>0</v>
      </c>
      <c r="Q32" s="5" t="n">
        <v>0</v>
      </c>
      <c r="R32" s="5" t="n">
        <v>0</v>
      </c>
      <c r="S32" s="5" t="n">
        <v>0</v>
      </c>
      <c r="T32" s="5" t="n">
        <v>0</v>
      </c>
      <c r="U32" s="5" t="n">
        <v>0</v>
      </c>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23.85" hidden="false" customHeight="false" outlineLevel="0" collapsed="false">
      <c r="A33" s="5" t="n">
        <v>32</v>
      </c>
      <c r="B33" s="5" t="s">
        <v>928</v>
      </c>
      <c r="C33" s="5" t="n">
        <v>0</v>
      </c>
      <c r="D33" s="5" t="n">
        <v>0</v>
      </c>
      <c r="E33" s="5" t="n">
        <v>0</v>
      </c>
      <c r="F33" s="5" t="n">
        <v>0</v>
      </c>
      <c r="G33" s="5" t="n">
        <v>0</v>
      </c>
      <c r="H33" s="5" t="n">
        <v>1</v>
      </c>
      <c r="I33" s="5" t="n">
        <v>0</v>
      </c>
      <c r="J33" s="5" t="n">
        <v>0</v>
      </c>
      <c r="K33" s="5" t="n">
        <v>0</v>
      </c>
      <c r="L33" s="5" t="n">
        <v>0</v>
      </c>
      <c r="M33" s="5" t="n">
        <v>0</v>
      </c>
      <c r="N33" s="5" t="n">
        <v>1</v>
      </c>
      <c r="O33" s="5" t="n">
        <v>0</v>
      </c>
      <c r="P33" s="5" t="n">
        <v>0</v>
      </c>
      <c r="Q33" s="5" t="n">
        <v>0</v>
      </c>
      <c r="R33" s="5" t="n">
        <v>0</v>
      </c>
      <c r="S33" s="5" t="n">
        <v>0</v>
      </c>
      <c r="T33" s="5" t="n">
        <v>0</v>
      </c>
      <c r="U33" s="5" t="n">
        <v>0</v>
      </c>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n">
        <v>1</v>
      </c>
      <c r="D34" s="5" t="n">
        <v>0</v>
      </c>
      <c r="E34" s="5" t="n">
        <v>0</v>
      </c>
      <c r="F34" s="5" t="n">
        <v>0</v>
      </c>
      <c r="G34" s="5" t="n">
        <v>0</v>
      </c>
      <c r="H34" s="5" t="n">
        <v>1</v>
      </c>
      <c r="I34" s="5" t="n">
        <v>0</v>
      </c>
      <c r="J34" s="5" t="n">
        <v>0</v>
      </c>
      <c r="K34" s="5" t="n">
        <v>0</v>
      </c>
      <c r="L34" s="5" t="n">
        <v>0</v>
      </c>
      <c r="M34" s="5" t="n">
        <v>0</v>
      </c>
      <c r="N34" s="5" t="n">
        <v>0</v>
      </c>
      <c r="O34" s="5" t="n">
        <v>0</v>
      </c>
      <c r="P34" s="5" t="n">
        <v>0</v>
      </c>
      <c r="Q34" s="5" t="n">
        <v>0</v>
      </c>
      <c r="R34" s="5" t="n">
        <v>0</v>
      </c>
      <c r="S34" s="5" t="n">
        <v>0</v>
      </c>
      <c r="T34" s="5" t="n">
        <v>0</v>
      </c>
      <c r="U34" s="5" t="n">
        <v>0</v>
      </c>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n">
        <v>0</v>
      </c>
      <c r="D35" s="5" t="n">
        <v>0</v>
      </c>
      <c r="E35" s="5" t="n">
        <v>0</v>
      </c>
      <c r="F35" s="5" t="n">
        <v>0</v>
      </c>
      <c r="G35" s="5" t="n">
        <v>1</v>
      </c>
      <c r="H35" s="5" t="n">
        <v>1</v>
      </c>
      <c r="I35" s="5" t="n">
        <v>0</v>
      </c>
      <c r="J35" s="5" t="n">
        <v>0</v>
      </c>
      <c r="K35" s="5" t="n">
        <v>0</v>
      </c>
      <c r="L35" s="5" t="n">
        <v>1</v>
      </c>
      <c r="M35" s="5" t="n">
        <v>0</v>
      </c>
      <c r="N35" s="5" t="n">
        <v>0</v>
      </c>
      <c r="O35" s="5" t="n">
        <v>0</v>
      </c>
      <c r="P35" s="5" t="n">
        <v>0</v>
      </c>
      <c r="Q35" s="5" t="n">
        <v>0</v>
      </c>
      <c r="R35" s="5" t="n">
        <v>0</v>
      </c>
      <c r="S35" s="5" t="n">
        <v>0</v>
      </c>
      <c r="T35" s="5" t="n">
        <v>0</v>
      </c>
      <c r="U35" s="5" t="n">
        <v>0</v>
      </c>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15" hidden="false" customHeight="false" outlineLevel="0" collapsed="false">
      <c r="A36" s="5" t="n">
        <v>35</v>
      </c>
      <c r="B36" s="5" t="s">
        <v>132</v>
      </c>
      <c r="C36" s="5" t="n">
        <v>0</v>
      </c>
      <c r="D36" s="5" t="n">
        <v>0</v>
      </c>
      <c r="E36" s="5" t="n">
        <v>0</v>
      </c>
      <c r="F36" s="5" t="n">
        <v>0</v>
      </c>
      <c r="G36" s="5" t="n">
        <v>0</v>
      </c>
      <c r="H36" s="5" t="n">
        <v>1</v>
      </c>
      <c r="I36" s="5" t="n">
        <v>0</v>
      </c>
      <c r="J36" s="5" t="n">
        <v>0</v>
      </c>
      <c r="K36" s="5" t="n">
        <v>1</v>
      </c>
      <c r="L36" s="5" t="n">
        <v>0</v>
      </c>
      <c r="M36" s="5" t="n">
        <v>0</v>
      </c>
      <c r="N36" s="5" t="n">
        <v>0</v>
      </c>
      <c r="O36" s="5" t="n">
        <v>0</v>
      </c>
      <c r="P36" s="5" t="n">
        <v>0</v>
      </c>
      <c r="Q36" s="5" t="n">
        <v>0</v>
      </c>
      <c r="R36" s="5" t="n">
        <v>0</v>
      </c>
      <c r="S36" s="5" t="n">
        <v>0</v>
      </c>
      <c r="T36" s="5" t="n">
        <v>0</v>
      </c>
      <c r="U36" s="5" t="n">
        <v>0</v>
      </c>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23.85" hidden="false" customHeight="false" outlineLevel="0" collapsed="false">
      <c r="A37" s="5" t="n">
        <v>36</v>
      </c>
      <c r="B37" s="5" t="s">
        <v>134</v>
      </c>
      <c r="C37" s="5" t="n">
        <v>0</v>
      </c>
      <c r="D37" s="5" t="n">
        <v>0</v>
      </c>
      <c r="E37" s="5" t="n">
        <v>0</v>
      </c>
      <c r="F37" s="5" t="n">
        <v>0</v>
      </c>
      <c r="G37" s="5" t="n">
        <v>1</v>
      </c>
      <c r="H37" s="5" t="n">
        <v>0</v>
      </c>
      <c r="I37" s="5" t="n">
        <v>0</v>
      </c>
      <c r="J37" s="5" t="n">
        <v>0</v>
      </c>
      <c r="K37" s="5" t="n">
        <v>0</v>
      </c>
      <c r="L37" s="5" t="n">
        <v>0</v>
      </c>
      <c r="M37" s="5" t="n">
        <v>0</v>
      </c>
      <c r="N37" s="5" t="n">
        <v>1</v>
      </c>
      <c r="O37" s="5" t="n">
        <v>0</v>
      </c>
      <c r="P37" s="5" t="n">
        <v>0</v>
      </c>
      <c r="Q37" s="5" t="n">
        <v>0</v>
      </c>
      <c r="R37" s="5" t="n">
        <v>0</v>
      </c>
      <c r="S37" s="5" t="n">
        <v>0</v>
      </c>
      <c r="T37" s="5" t="n">
        <v>0</v>
      </c>
      <c r="U37" s="5" t="n">
        <v>0</v>
      </c>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n">
        <v>0</v>
      </c>
      <c r="D38" s="5" t="n">
        <v>0</v>
      </c>
      <c r="E38" s="5" t="n">
        <v>0</v>
      </c>
      <c r="F38" s="5" t="n">
        <v>0</v>
      </c>
      <c r="G38" s="5" t="n">
        <v>0</v>
      </c>
      <c r="H38" s="5" t="n">
        <v>1</v>
      </c>
      <c r="I38" s="5" t="n">
        <v>0</v>
      </c>
      <c r="J38" s="5" t="n">
        <v>0</v>
      </c>
      <c r="K38" s="5" t="n">
        <v>0</v>
      </c>
      <c r="L38" s="5" t="n">
        <v>1</v>
      </c>
      <c r="M38" s="5" t="n">
        <v>0</v>
      </c>
      <c r="N38" s="5" t="n">
        <v>1</v>
      </c>
      <c r="O38" s="5" t="n">
        <v>0</v>
      </c>
      <c r="P38" s="5" t="n">
        <v>0</v>
      </c>
      <c r="Q38" s="5" t="n">
        <v>0</v>
      </c>
      <c r="R38" s="5" t="n">
        <v>0</v>
      </c>
      <c r="S38" s="5" t="n">
        <v>0</v>
      </c>
      <c r="T38" s="5" t="n">
        <v>0</v>
      </c>
      <c r="U38" s="5" t="n">
        <v>0</v>
      </c>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n">
        <v>0</v>
      </c>
      <c r="D39" s="5" t="n">
        <v>0</v>
      </c>
      <c r="E39" s="5" t="n">
        <v>0</v>
      </c>
      <c r="F39" s="5" t="n">
        <v>0</v>
      </c>
      <c r="G39" s="5" t="n">
        <v>1</v>
      </c>
      <c r="H39" s="5" t="n">
        <v>0</v>
      </c>
      <c r="I39" s="5" t="n">
        <v>0</v>
      </c>
      <c r="J39" s="5" t="n">
        <v>0</v>
      </c>
      <c r="K39" s="5" t="n">
        <v>0</v>
      </c>
      <c r="L39" s="5" t="n">
        <v>0</v>
      </c>
      <c r="M39" s="5" t="n">
        <v>0</v>
      </c>
      <c r="N39" s="5" t="n">
        <v>0</v>
      </c>
      <c r="O39" s="5" t="n">
        <v>0</v>
      </c>
      <c r="P39" s="5" t="n">
        <v>0</v>
      </c>
      <c r="Q39" s="5" t="n">
        <v>1</v>
      </c>
      <c r="R39" s="5" t="n">
        <v>0</v>
      </c>
      <c r="S39" s="5" t="n">
        <v>0</v>
      </c>
      <c r="T39" s="5" t="n">
        <v>0</v>
      </c>
      <c r="U39" s="5" t="n">
        <v>0</v>
      </c>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n">
        <v>0</v>
      </c>
      <c r="D40" s="5" t="n">
        <v>0</v>
      </c>
      <c r="E40" s="5" t="n">
        <v>0</v>
      </c>
      <c r="F40" s="5" t="n">
        <v>0</v>
      </c>
      <c r="G40" s="5" t="n">
        <v>0</v>
      </c>
      <c r="H40" s="5" t="n">
        <v>1</v>
      </c>
      <c r="I40" s="5" t="n">
        <v>0</v>
      </c>
      <c r="J40" s="5" t="n">
        <v>0</v>
      </c>
      <c r="K40" s="5" t="n">
        <v>0</v>
      </c>
      <c r="L40" s="5" t="n">
        <v>0</v>
      </c>
      <c r="M40" s="5" t="n">
        <v>0</v>
      </c>
      <c r="N40" s="5" t="n">
        <v>0</v>
      </c>
      <c r="O40" s="5" t="n">
        <v>0</v>
      </c>
      <c r="P40" s="5" t="n">
        <v>0</v>
      </c>
      <c r="Q40" s="5" t="n">
        <v>0</v>
      </c>
      <c r="R40" s="5" t="n">
        <v>0</v>
      </c>
      <c r="S40" s="5" t="n">
        <v>0</v>
      </c>
      <c r="T40" s="5" t="n">
        <v>0</v>
      </c>
      <c r="U40" s="5" t="n">
        <v>0</v>
      </c>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23.85" hidden="false" customHeight="false" outlineLevel="0" collapsed="false">
      <c r="A41" s="5" t="n">
        <v>40</v>
      </c>
      <c r="B41" s="5" t="s">
        <v>952</v>
      </c>
      <c r="C41" s="5" t="n">
        <v>1</v>
      </c>
      <c r="D41" s="5" t="n">
        <v>0</v>
      </c>
      <c r="E41" s="5" t="n">
        <v>0</v>
      </c>
      <c r="F41" s="5" t="n">
        <v>0</v>
      </c>
      <c r="G41" s="5" t="n">
        <v>0</v>
      </c>
      <c r="H41" s="5" t="n">
        <v>1</v>
      </c>
      <c r="I41" s="5" t="n">
        <v>0</v>
      </c>
      <c r="J41" s="5" t="n">
        <v>0</v>
      </c>
      <c r="K41" s="5" t="n">
        <v>0</v>
      </c>
      <c r="L41" s="5" t="n">
        <v>1</v>
      </c>
      <c r="M41" s="5" t="n">
        <v>0</v>
      </c>
      <c r="N41" s="5" t="n">
        <v>0</v>
      </c>
      <c r="O41" s="5" t="n">
        <v>0</v>
      </c>
      <c r="P41" s="5" t="n">
        <v>0</v>
      </c>
      <c r="Q41" s="5" t="n">
        <v>0</v>
      </c>
      <c r="R41" s="5" t="n">
        <v>0</v>
      </c>
      <c r="S41" s="5" t="n">
        <v>0</v>
      </c>
      <c r="T41" s="5" t="n">
        <v>0</v>
      </c>
      <c r="U41" s="5" t="n">
        <v>0</v>
      </c>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n">
        <v>0</v>
      </c>
      <c r="D42" s="5" t="n">
        <v>0</v>
      </c>
      <c r="E42" s="5" t="n">
        <v>0</v>
      </c>
      <c r="F42" s="5" t="n">
        <v>0</v>
      </c>
      <c r="G42" s="5" t="n">
        <v>1</v>
      </c>
      <c r="H42" s="5" t="n">
        <v>1</v>
      </c>
      <c r="I42" s="5" t="n">
        <v>0</v>
      </c>
      <c r="J42" s="5" t="n">
        <v>0</v>
      </c>
      <c r="K42" s="5" t="n">
        <v>0</v>
      </c>
      <c r="L42" s="5" t="n">
        <v>0</v>
      </c>
      <c r="M42" s="5" t="n">
        <v>0</v>
      </c>
      <c r="N42" s="5" t="n">
        <v>0</v>
      </c>
      <c r="O42" s="5" t="n">
        <v>0</v>
      </c>
      <c r="P42" s="5" t="n">
        <v>0</v>
      </c>
      <c r="Q42" s="5" t="n">
        <v>0</v>
      </c>
      <c r="R42" s="5" t="n">
        <v>0</v>
      </c>
      <c r="S42" s="5" t="n">
        <v>0</v>
      </c>
      <c r="T42" s="5" t="n">
        <v>0</v>
      </c>
      <c r="U42" s="5" t="n">
        <v>0</v>
      </c>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n">
        <v>0</v>
      </c>
      <c r="D43" s="5" t="n">
        <v>0</v>
      </c>
      <c r="E43" s="5" t="n">
        <v>0</v>
      </c>
      <c r="F43" s="5" t="n">
        <v>0</v>
      </c>
      <c r="G43" s="5" t="n">
        <v>0</v>
      </c>
      <c r="H43" s="5" t="n">
        <v>1</v>
      </c>
      <c r="I43" s="5" t="n">
        <v>0</v>
      </c>
      <c r="J43" s="5" t="n">
        <v>0</v>
      </c>
      <c r="K43" s="5" t="n">
        <v>0</v>
      </c>
      <c r="L43" s="5" t="n">
        <v>1</v>
      </c>
      <c r="M43" s="5" t="n">
        <v>0</v>
      </c>
      <c r="N43" s="5" t="n">
        <v>1</v>
      </c>
      <c r="O43" s="5" t="n">
        <v>0</v>
      </c>
      <c r="P43" s="5" t="n">
        <v>0</v>
      </c>
      <c r="Q43" s="5" t="n">
        <v>0</v>
      </c>
      <c r="R43" s="5" t="n">
        <v>0</v>
      </c>
      <c r="S43" s="5" t="n">
        <v>0</v>
      </c>
      <c r="T43" s="5" t="n">
        <v>0</v>
      </c>
      <c r="U43" s="5" t="n">
        <v>0</v>
      </c>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n">
        <v>1</v>
      </c>
      <c r="D44" s="5" t="n">
        <v>0</v>
      </c>
      <c r="E44" s="5" t="n">
        <v>0</v>
      </c>
      <c r="F44" s="5" t="n">
        <v>0</v>
      </c>
      <c r="G44" s="5" t="n">
        <v>0</v>
      </c>
      <c r="H44" s="5" t="n">
        <v>0</v>
      </c>
      <c r="I44" s="5" t="n">
        <v>0</v>
      </c>
      <c r="J44" s="5" t="n">
        <v>0</v>
      </c>
      <c r="K44" s="5" t="n">
        <v>0</v>
      </c>
      <c r="L44" s="5" t="n">
        <v>1</v>
      </c>
      <c r="M44" s="5" t="n">
        <v>0</v>
      </c>
      <c r="N44" s="5" t="n">
        <v>0</v>
      </c>
      <c r="O44" s="5" t="n">
        <v>0</v>
      </c>
      <c r="P44" s="5" t="n">
        <v>0</v>
      </c>
      <c r="Q44" s="5" t="n">
        <v>0</v>
      </c>
      <c r="R44" s="5" t="n">
        <v>0</v>
      </c>
      <c r="S44" s="5" t="n">
        <v>0</v>
      </c>
      <c r="T44" s="5" t="n">
        <v>0</v>
      </c>
      <c r="U44" s="5" t="n">
        <v>1</v>
      </c>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n">
        <v>0</v>
      </c>
      <c r="D45" s="5" t="n">
        <v>0</v>
      </c>
      <c r="E45" s="5" t="n">
        <v>0</v>
      </c>
      <c r="F45" s="5" t="n">
        <v>0</v>
      </c>
      <c r="G45" s="5" t="n">
        <v>0</v>
      </c>
      <c r="H45" s="5" t="n">
        <v>1</v>
      </c>
      <c r="I45" s="5" t="n">
        <v>0</v>
      </c>
      <c r="J45" s="5" t="n">
        <v>0</v>
      </c>
      <c r="K45" s="5" t="n">
        <v>0</v>
      </c>
      <c r="L45" s="5" t="n">
        <v>1</v>
      </c>
      <c r="M45" s="5" t="n">
        <v>0</v>
      </c>
      <c r="N45" s="5" t="n">
        <v>0</v>
      </c>
      <c r="O45" s="5" t="n">
        <v>0</v>
      </c>
      <c r="P45" s="5" t="n">
        <v>0</v>
      </c>
      <c r="Q45" s="5" t="n">
        <v>0</v>
      </c>
      <c r="R45" s="5" t="n">
        <v>0</v>
      </c>
      <c r="S45" s="5" t="n">
        <v>0</v>
      </c>
      <c r="T45" s="5" t="n">
        <v>0</v>
      </c>
      <c r="U45" s="5" t="n">
        <v>0</v>
      </c>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23.85" hidden="false" customHeight="false" outlineLevel="0" collapsed="false">
      <c r="A46" s="5" t="n">
        <v>45</v>
      </c>
      <c r="B46" s="5" t="s">
        <v>968</v>
      </c>
      <c r="C46" s="5" t="n">
        <v>0</v>
      </c>
      <c r="D46" s="5" t="n">
        <v>0</v>
      </c>
      <c r="E46" s="5" t="n">
        <v>0</v>
      </c>
      <c r="F46" s="5" t="n">
        <v>0</v>
      </c>
      <c r="G46" s="5" t="n">
        <v>0</v>
      </c>
      <c r="H46" s="5" t="n">
        <v>1</v>
      </c>
      <c r="I46" s="5" t="n">
        <v>0</v>
      </c>
      <c r="J46" s="5" t="n">
        <v>0</v>
      </c>
      <c r="K46" s="5" t="n">
        <v>1</v>
      </c>
      <c r="L46" s="5" t="n">
        <v>1</v>
      </c>
      <c r="M46" s="5" t="n">
        <v>0</v>
      </c>
      <c r="N46" s="5" t="n">
        <v>0</v>
      </c>
      <c r="O46" s="5" t="n">
        <v>0</v>
      </c>
      <c r="P46" s="5" t="n">
        <v>0</v>
      </c>
      <c r="Q46" s="5" t="n">
        <v>0</v>
      </c>
      <c r="R46" s="5" t="n">
        <v>0</v>
      </c>
      <c r="S46" s="5" t="n">
        <v>0</v>
      </c>
      <c r="T46" s="5" t="n">
        <v>0</v>
      </c>
      <c r="U46" s="5" t="n">
        <v>0</v>
      </c>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n">
        <v>0</v>
      </c>
      <c r="D47" s="5" t="n">
        <v>0</v>
      </c>
      <c r="E47" s="5" t="n">
        <v>0</v>
      </c>
      <c r="F47" s="5" t="n">
        <v>0</v>
      </c>
      <c r="G47" s="5" t="n">
        <v>0</v>
      </c>
      <c r="H47" s="5" t="n">
        <v>1</v>
      </c>
      <c r="I47" s="5" t="n">
        <v>0</v>
      </c>
      <c r="J47" s="5" t="n">
        <v>0</v>
      </c>
      <c r="K47" s="5" t="n">
        <v>0</v>
      </c>
      <c r="L47" s="5" t="n">
        <v>0</v>
      </c>
      <c r="M47" s="5" t="n">
        <v>0</v>
      </c>
      <c r="N47" s="5" t="n">
        <v>1</v>
      </c>
      <c r="O47" s="5" t="n">
        <v>0</v>
      </c>
      <c r="P47" s="5" t="n">
        <v>1</v>
      </c>
      <c r="Q47" s="5" t="n">
        <v>0</v>
      </c>
      <c r="R47" s="5" t="n">
        <v>0</v>
      </c>
      <c r="S47" s="5" t="n">
        <v>0</v>
      </c>
      <c r="T47" s="5" t="n">
        <v>0</v>
      </c>
      <c r="U47" s="5" t="n">
        <v>0</v>
      </c>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23.85" hidden="false" customHeight="false" outlineLevel="0" collapsed="false">
      <c r="A48" s="5" t="n">
        <v>47</v>
      </c>
      <c r="B48" s="5" t="s">
        <v>973</v>
      </c>
      <c r="C48" s="5" t="n">
        <v>0</v>
      </c>
      <c r="D48" s="5" t="n">
        <v>0</v>
      </c>
      <c r="E48" s="5" t="n">
        <v>0</v>
      </c>
      <c r="F48" s="5" t="n">
        <v>0</v>
      </c>
      <c r="G48" s="5" t="n">
        <v>1</v>
      </c>
      <c r="H48" s="5" t="n">
        <v>1</v>
      </c>
      <c r="I48" s="5" t="n">
        <v>0</v>
      </c>
      <c r="J48" s="5" t="n">
        <v>0</v>
      </c>
      <c r="K48" s="5" t="n">
        <v>0</v>
      </c>
      <c r="L48" s="5" t="n">
        <v>0</v>
      </c>
      <c r="M48" s="5" t="n">
        <v>0</v>
      </c>
      <c r="N48" s="5" t="n">
        <v>1</v>
      </c>
      <c r="O48" s="5" t="n">
        <v>0</v>
      </c>
      <c r="P48" s="5" t="n">
        <v>0</v>
      </c>
      <c r="Q48" s="5" t="n">
        <v>0</v>
      </c>
      <c r="R48" s="5" t="n">
        <v>0</v>
      </c>
      <c r="S48" s="5" t="n">
        <v>0</v>
      </c>
      <c r="T48" s="5" t="n">
        <v>0</v>
      </c>
      <c r="U48" s="5" t="n">
        <v>0</v>
      </c>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n">
        <v>0</v>
      </c>
      <c r="D49" s="5" t="n">
        <v>0</v>
      </c>
      <c r="E49" s="5" t="n">
        <v>0</v>
      </c>
      <c r="F49" s="5" t="n">
        <v>0</v>
      </c>
      <c r="G49" s="5" t="n">
        <v>0</v>
      </c>
      <c r="H49" s="5" t="n">
        <v>1</v>
      </c>
      <c r="I49" s="5" t="n">
        <v>0</v>
      </c>
      <c r="J49" s="5" t="n">
        <v>0</v>
      </c>
      <c r="K49" s="5" t="n">
        <v>1</v>
      </c>
      <c r="L49" s="5" t="n">
        <v>0</v>
      </c>
      <c r="M49" s="5" t="n">
        <v>0</v>
      </c>
      <c r="N49" s="5" t="n">
        <v>0</v>
      </c>
      <c r="O49" s="5" t="n">
        <v>0</v>
      </c>
      <c r="P49" s="5" t="n">
        <v>0</v>
      </c>
      <c r="Q49" s="5" t="n">
        <v>0</v>
      </c>
      <c r="R49" s="5" t="n">
        <v>0</v>
      </c>
      <c r="S49" s="5" t="n">
        <v>0</v>
      </c>
      <c r="T49" s="5" t="n">
        <v>0</v>
      </c>
      <c r="U49" s="5" t="n">
        <v>0</v>
      </c>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n">
        <v>0</v>
      </c>
      <c r="D50" s="5" t="n">
        <v>0</v>
      </c>
      <c r="E50" s="5" t="n">
        <v>0</v>
      </c>
      <c r="F50" s="5" t="n">
        <v>0</v>
      </c>
      <c r="G50" s="5" t="n">
        <v>0</v>
      </c>
      <c r="H50" s="5" t="n">
        <v>1</v>
      </c>
      <c r="I50" s="5" t="n">
        <v>0</v>
      </c>
      <c r="J50" s="5" t="n">
        <v>0</v>
      </c>
      <c r="K50" s="5" t="n">
        <v>0</v>
      </c>
      <c r="L50" s="5" t="n">
        <v>0</v>
      </c>
      <c r="M50" s="5" t="n">
        <v>0</v>
      </c>
      <c r="N50" s="5" t="n">
        <v>0</v>
      </c>
      <c r="O50" s="5" t="n">
        <v>0</v>
      </c>
      <c r="P50" s="5" t="n">
        <v>0</v>
      </c>
      <c r="Q50" s="5" t="n">
        <v>0</v>
      </c>
      <c r="R50" s="5" t="n">
        <v>0</v>
      </c>
      <c r="S50" s="5" t="n">
        <v>0</v>
      </c>
      <c r="T50" s="5" t="n">
        <v>0</v>
      </c>
      <c r="U50" s="5" t="n">
        <v>0</v>
      </c>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23.85" hidden="false" customHeight="false" outlineLevel="0" collapsed="false">
      <c r="A51" s="5" t="n">
        <v>50</v>
      </c>
      <c r="B51" s="5" t="s">
        <v>981</v>
      </c>
      <c r="C51" s="5" t="n">
        <v>0</v>
      </c>
      <c r="D51" s="5" t="n">
        <v>0</v>
      </c>
      <c r="E51" s="5" t="n">
        <v>0</v>
      </c>
      <c r="F51" s="5" t="n">
        <v>0</v>
      </c>
      <c r="G51" s="5" t="n">
        <v>0</v>
      </c>
      <c r="H51" s="5" t="n">
        <v>1</v>
      </c>
      <c r="I51" s="5" t="n">
        <v>0</v>
      </c>
      <c r="J51" s="5" t="n">
        <v>0</v>
      </c>
      <c r="K51" s="5" t="n">
        <v>0</v>
      </c>
      <c r="L51" s="5" t="n">
        <v>0</v>
      </c>
      <c r="M51" s="5" t="n">
        <v>0</v>
      </c>
      <c r="N51" s="5" t="n">
        <v>1</v>
      </c>
      <c r="O51" s="5" t="n">
        <v>0</v>
      </c>
      <c r="P51" s="5" t="n">
        <v>0</v>
      </c>
      <c r="Q51" s="5" t="n">
        <v>0</v>
      </c>
      <c r="R51" s="5" t="n">
        <v>0</v>
      </c>
      <c r="S51" s="5" t="n">
        <v>0</v>
      </c>
      <c r="T51" s="5" t="n">
        <v>0</v>
      </c>
      <c r="U51" s="5" t="n">
        <v>0</v>
      </c>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23.85" hidden="false" customHeight="false" outlineLevel="0" collapsed="false">
      <c r="A52" s="5" t="n">
        <v>51</v>
      </c>
      <c r="B52" s="5" t="s">
        <v>983</v>
      </c>
      <c r="C52" s="5" t="n">
        <v>0</v>
      </c>
      <c r="D52" s="5" t="n">
        <v>0</v>
      </c>
      <c r="E52" s="5" t="n">
        <v>0</v>
      </c>
      <c r="F52" s="5" t="n">
        <v>0</v>
      </c>
      <c r="G52" s="5" t="n">
        <v>0</v>
      </c>
      <c r="H52" s="5" t="n">
        <v>1</v>
      </c>
      <c r="I52" s="5" t="n">
        <v>0</v>
      </c>
      <c r="J52" s="5" t="n">
        <v>0</v>
      </c>
      <c r="K52" s="5" t="n">
        <v>0</v>
      </c>
      <c r="L52" s="5" t="n">
        <v>0</v>
      </c>
      <c r="M52" s="5" t="n">
        <v>0</v>
      </c>
      <c r="N52" s="5" t="n">
        <v>0</v>
      </c>
      <c r="O52" s="5" t="n">
        <v>0</v>
      </c>
      <c r="P52" s="5" t="n">
        <v>0</v>
      </c>
      <c r="Q52" s="5" t="n">
        <v>0</v>
      </c>
      <c r="R52" s="5" t="n">
        <v>0</v>
      </c>
      <c r="S52" s="5" t="n">
        <v>0</v>
      </c>
      <c r="T52" s="5" t="n">
        <v>0</v>
      </c>
      <c r="U52" s="5" t="n">
        <v>0</v>
      </c>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23.85" hidden="false" customHeight="false" outlineLevel="0" collapsed="false">
      <c r="A53" s="5" t="n">
        <v>52</v>
      </c>
      <c r="B53" s="5" t="s">
        <v>986</v>
      </c>
      <c r="C53" s="5" t="n">
        <v>0</v>
      </c>
      <c r="D53" s="5" t="n">
        <v>0</v>
      </c>
      <c r="E53" s="5" t="n">
        <v>0</v>
      </c>
      <c r="F53" s="5" t="n">
        <v>0</v>
      </c>
      <c r="G53" s="5" t="n">
        <v>0</v>
      </c>
      <c r="H53" s="5" t="n">
        <v>1</v>
      </c>
      <c r="I53" s="5" t="n">
        <v>0</v>
      </c>
      <c r="J53" s="5" t="n">
        <v>0</v>
      </c>
      <c r="K53" s="5" t="n">
        <v>0</v>
      </c>
      <c r="L53" s="5" t="n">
        <v>0</v>
      </c>
      <c r="M53" s="5" t="n">
        <v>0</v>
      </c>
      <c r="N53" s="5" t="n">
        <v>1</v>
      </c>
      <c r="O53" s="5" t="n">
        <v>0</v>
      </c>
      <c r="P53" s="5" t="n">
        <v>0</v>
      </c>
      <c r="Q53" s="5" t="n">
        <v>0</v>
      </c>
      <c r="R53" s="5" t="n">
        <v>0</v>
      </c>
      <c r="S53" s="5" t="n">
        <v>0</v>
      </c>
      <c r="T53" s="5" t="n">
        <v>0</v>
      </c>
      <c r="U53" s="5" t="n">
        <v>0</v>
      </c>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n">
        <v>0</v>
      </c>
      <c r="D54" s="5" t="n">
        <v>0</v>
      </c>
      <c r="E54" s="5" t="n">
        <v>0</v>
      </c>
      <c r="F54" s="5" t="n">
        <v>0</v>
      </c>
      <c r="G54" s="5" t="n">
        <v>0</v>
      </c>
      <c r="H54" s="5" t="n">
        <v>0</v>
      </c>
      <c r="I54" s="5" t="n">
        <v>0</v>
      </c>
      <c r="J54" s="5" t="n">
        <v>0</v>
      </c>
      <c r="K54" s="5" t="n">
        <v>1</v>
      </c>
      <c r="L54" s="5" t="n">
        <v>0</v>
      </c>
      <c r="M54" s="5" t="n">
        <v>0</v>
      </c>
      <c r="N54" s="5" t="n">
        <v>1</v>
      </c>
      <c r="O54" s="5" t="n">
        <v>0</v>
      </c>
      <c r="P54" s="5" t="n">
        <v>0</v>
      </c>
      <c r="Q54" s="5" t="n">
        <v>0</v>
      </c>
      <c r="R54" s="5" t="n">
        <v>0</v>
      </c>
      <c r="S54" s="5" t="n">
        <v>0</v>
      </c>
      <c r="T54" s="5" t="n">
        <v>0</v>
      </c>
      <c r="U54" s="5" t="n">
        <v>0</v>
      </c>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23.85" hidden="false" customHeight="false" outlineLevel="0" collapsed="false">
      <c r="A55" s="5" t="n">
        <v>54</v>
      </c>
      <c r="B55" s="5" t="s">
        <v>993</v>
      </c>
      <c r="C55" s="5" t="n">
        <v>0</v>
      </c>
      <c r="D55" s="5" t="n">
        <v>0</v>
      </c>
      <c r="E55" s="5" t="n">
        <v>0</v>
      </c>
      <c r="F55" s="5" t="n">
        <v>0</v>
      </c>
      <c r="G55" s="5" t="n">
        <v>0</v>
      </c>
      <c r="H55" s="5" t="n">
        <v>0</v>
      </c>
      <c r="I55" s="5" t="n">
        <v>0</v>
      </c>
      <c r="J55" s="5" t="n">
        <v>0</v>
      </c>
      <c r="K55" s="5" t="n">
        <v>0</v>
      </c>
      <c r="L55" s="5" t="n">
        <v>0</v>
      </c>
      <c r="M55" s="5" t="n">
        <v>0</v>
      </c>
      <c r="N55" s="5" t="n">
        <v>0</v>
      </c>
      <c r="O55" s="5" t="n">
        <v>0</v>
      </c>
      <c r="P55" s="5" t="n">
        <v>0</v>
      </c>
      <c r="Q55" s="5" t="n">
        <v>0</v>
      </c>
      <c r="R55" s="5" t="n">
        <v>0</v>
      </c>
      <c r="S55" s="5" t="n">
        <v>0</v>
      </c>
      <c r="T55" s="5" t="n">
        <v>0</v>
      </c>
      <c r="U55" s="5" t="n">
        <v>0</v>
      </c>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23.85" hidden="false" customHeight="false" outlineLevel="0" collapsed="false">
      <c r="A56" s="5" t="n">
        <v>55</v>
      </c>
      <c r="B56" s="5" t="s">
        <v>996</v>
      </c>
      <c r="C56" s="5" t="n">
        <v>0</v>
      </c>
      <c r="D56" s="5" t="n">
        <v>0</v>
      </c>
      <c r="E56" s="5" t="n">
        <v>0</v>
      </c>
      <c r="F56" s="5" t="n">
        <v>0</v>
      </c>
      <c r="G56" s="5" t="n">
        <v>0</v>
      </c>
      <c r="H56" s="5" t="n">
        <v>1</v>
      </c>
      <c r="I56" s="5" t="n">
        <v>0</v>
      </c>
      <c r="J56" s="5" t="n">
        <v>0</v>
      </c>
      <c r="K56" s="5" t="n">
        <v>0</v>
      </c>
      <c r="L56" s="5" t="n">
        <v>0</v>
      </c>
      <c r="M56" s="5" t="n">
        <v>0</v>
      </c>
      <c r="N56" s="5" t="n">
        <v>1</v>
      </c>
      <c r="O56" s="5" t="n">
        <v>0</v>
      </c>
      <c r="P56" s="5" t="n">
        <v>0</v>
      </c>
      <c r="Q56" s="5" t="n">
        <v>0</v>
      </c>
      <c r="R56" s="5" t="n">
        <v>0</v>
      </c>
      <c r="S56" s="5" t="n">
        <v>0</v>
      </c>
      <c r="T56" s="5" t="n">
        <v>0</v>
      </c>
      <c r="U56" s="5" t="n">
        <v>0</v>
      </c>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23.85" hidden="false" customHeight="false" outlineLevel="0" collapsed="false">
      <c r="A57" s="5" t="n">
        <v>56</v>
      </c>
      <c r="B57" s="5" t="s">
        <v>175</v>
      </c>
      <c r="C57" s="5" t="n">
        <v>0</v>
      </c>
      <c r="D57" s="5" t="n">
        <v>0</v>
      </c>
      <c r="E57" s="5" t="n">
        <v>1</v>
      </c>
      <c r="F57" s="5" t="n">
        <v>0</v>
      </c>
      <c r="G57" s="5" t="n">
        <v>1</v>
      </c>
      <c r="H57" s="5" t="n">
        <v>1</v>
      </c>
      <c r="I57" s="5" t="n">
        <v>0</v>
      </c>
      <c r="J57" s="5" t="n">
        <v>0</v>
      </c>
      <c r="K57" s="5" t="n">
        <v>0</v>
      </c>
      <c r="L57" s="5" t="n">
        <v>1</v>
      </c>
      <c r="M57" s="5" t="n">
        <v>0</v>
      </c>
      <c r="N57" s="5" t="n">
        <v>1</v>
      </c>
      <c r="O57" s="5" t="n">
        <v>0</v>
      </c>
      <c r="P57" s="5" t="n">
        <v>1</v>
      </c>
      <c r="Q57" s="5" t="n">
        <v>0</v>
      </c>
      <c r="R57" s="5" t="n">
        <v>0</v>
      </c>
      <c r="S57" s="5" t="n">
        <v>0</v>
      </c>
      <c r="T57" s="5" t="n">
        <v>1</v>
      </c>
      <c r="U57" s="5" t="n">
        <v>1</v>
      </c>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n">
        <v>0</v>
      </c>
      <c r="D58" s="5" t="n">
        <v>0</v>
      </c>
      <c r="E58" s="5" t="n">
        <v>0</v>
      </c>
      <c r="F58" s="5" t="n">
        <v>0</v>
      </c>
      <c r="G58" s="5" t="n">
        <v>0</v>
      </c>
      <c r="H58" s="5" t="n">
        <v>1</v>
      </c>
      <c r="I58" s="5" t="n">
        <v>0</v>
      </c>
      <c r="J58" s="5" t="n">
        <v>0</v>
      </c>
      <c r="K58" s="5" t="n">
        <v>1</v>
      </c>
      <c r="L58" s="5" t="n">
        <v>0</v>
      </c>
      <c r="M58" s="5" t="n">
        <v>0</v>
      </c>
      <c r="N58" s="5" t="n">
        <v>0</v>
      </c>
      <c r="O58" s="5" t="n">
        <v>0</v>
      </c>
      <c r="P58" s="5" t="n">
        <v>0</v>
      </c>
      <c r="Q58" s="5" t="n">
        <v>0</v>
      </c>
      <c r="R58" s="5" t="n">
        <v>0</v>
      </c>
      <c r="S58" s="5" t="n">
        <v>0</v>
      </c>
      <c r="T58" s="5" t="n">
        <v>0</v>
      </c>
      <c r="U58" s="5" t="n">
        <v>0</v>
      </c>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n">
        <v>1</v>
      </c>
      <c r="D59" s="5" t="n">
        <v>0</v>
      </c>
      <c r="E59" s="5" t="n">
        <v>0</v>
      </c>
      <c r="F59" s="5" t="n">
        <v>0</v>
      </c>
      <c r="G59" s="5" t="n">
        <v>1</v>
      </c>
      <c r="H59" s="5" t="n">
        <v>1</v>
      </c>
      <c r="I59" s="5" t="n">
        <v>0</v>
      </c>
      <c r="J59" s="5" t="n">
        <v>0</v>
      </c>
      <c r="K59" s="5" t="n">
        <v>0</v>
      </c>
      <c r="L59" s="5" t="n">
        <v>0</v>
      </c>
      <c r="M59" s="5" t="n">
        <v>0</v>
      </c>
      <c r="N59" s="5" t="n">
        <v>0</v>
      </c>
      <c r="O59" s="5" t="n">
        <v>0</v>
      </c>
      <c r="P59" s="5" t="n">
        <v>0</v>
      </c>
      <c r="Q59" s="5" t="n">
        <v>0</v>
      </c>
      <c r="R59" s="5" t="n">
        <v>0</v>
      </c>
      <c r="S59" s="5" t="n">
        <v>0</v>
      </c>
      <c r="T59" s="5" t="n">
        <v>0</v>
      </c>
      <c r="U59" s="5" t="n">
        <v>1</v>
      </c>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n">
        <v>1</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c r="U60" s="1" t="n">
        <v>0</v>
      </c>
    </row>
  </sheetData>
  <conditionalFormatting sqref="C2:AZ59">
    <cfRule type="expression" priority="2" aboveAverage="0" equalAverage="0" bottom="0" percent="0" rank="0" text="" dxfId="16">
      <formula>C2=1</formula>
    </cfRule>
    <cfRule type="expression" priority="3" aboveAverage="0" equalAverage="0" bottom="0" percent="0" rank="0" text="" dxfId="17">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2"/>
    <col collapsed="false" customWidth="true" hidden="false" outlineLevel="0" max="5" min="3" style="1" width="38"/>
    <col collapsed="false" customWidth="true" hidden="false" outlineLevel="0" max="6" min="6" style="1" width="42"/>
    <col collapsed="false" customWidth="true" hidden="false" outlineLevel="0" max="9" min="7" style="1" width="38"/>
    <col collapsed="false" customWidth="true" hidden="false" outlineLevel="0" max="10" min="10" style="1" width="25"/>
    <col collapsed="false" customWidth="true" hidden="false" outlineLevel="0" max="11" min="11" style="1" width="28"/>
    <col collapsed="false" customWidth="true" hidden="false" outlineLevel="0" max="12" min="12" style="1" width="16"/>
    <col collapsed="false" customWidth="true" hidden="false" outlineLevel="0" max="13" min="13" style="1" width="12"/>
    <col collapsed="false" customWidth="true" hidden="false" outlineLevel="0" max="14" min="14" style="1" width="16"/>
    <col collapsed="false" customWidth="true" hidden="false" outlineLevel="0" max="16" min="15" style="1" width="18"/>
    <col collapsed="false" customWidth="true" hidden="false" outlineLevel="0" max="17" min="17" style="1" width="32"/>
  </cols>
  <sheetData>
    <row r="1" customFormat="false" ht="34" hidden="false" customHeight="true" outlineLevel="0" collapsed="false">
      <c r="A1" s="6" t="s">
        <v>805</v>
      </c>
      <c r="B1" s="5" t="s">
        <v>1012</v>
      </c>
      <c r="C1" s="5" t="s">
        <v>1092</v>
      </c>
      <c r="D1" s="5" t="s">
        <v>1093</v>
      </c>
      <c r="E1" s="5" t="s">
        <v>194</v>
      </c>
      <c r="F1" s="5" t="s">
        <v>1094</v>
      </c>
      <c r="G1" s="5" t="s">
        <v>196</v>
      </c>
      <c r="H1" s="5" t="s">
        <v>197</v>
      </c>
      <c r="I1" s="5" t="s">
        <v>34</v>
      </c>
      <c r="J1" s="5" t="s">
        <v>1095</v>
      </c>
      <c r="K1" s="5" t="s">
        <v>1096</v>
      </c>
      <c r="L1" s="5" t="s">
        <v>1097</v>
      </c>
      <c r="M1" s="5" t="s">
        <v>1098</v>
      </c>
      <c r="N1" s="5" t="s">
        <v>1099</v>
      </c>
      <c r="O1" s="5" t="s">
        <v>1100</v>
      </c>
      <c r="P1" s="5" t="s">
        <v>1101</v>
      </c>
      <c r="Q1" s="5" t="s">
        <v>1102</v>
      </c>
    </row>
    <row r="2" customFormat="false" ht="46.25" hidden="false" customHeight="false" outlineLevel="0" collapsed="false">
      <c r="A2" s="5" t="n">
        <v>1</v>
      </c>
      <c r="B2" s="5" t="s">
        <v>819</v>
      </c>
      <c r="C2" s="11" t="s">
        <v>1103</v>
      </c>
      <c r="D2" s="11" t="s">
        <v>1104</v>
      </c>
      <c r="E2" s="11" t="s">
        <v>1105</v>
      </c>
      <c r="F2" s="11" t="s">
        <v>1106</v>
      </c>
      <c r="G2" s="11" t="s">
        <v>1107</v>
      </c>
      <c r="H2" s="11" t="s">
        <v>1108</v>
      </c>
      <c r="I2" s="11" t="s">
        <v>211</v>
      </c>
      <c r="J2" s="5" t="s">
        <v>11</v>
      </c>
      <c r="K2" s="5"/>
      <c r="L2" s="5" t="n">
        <v>4</v>
      </c>
      <c r="M2" s="5" t="n">
        <v>3</v>
      </c>
      <c r="N2" s="5" t="s">
        <v>1109</v>
      </c>
      <c r="O2" s="5" t="s">
        <v>1109</v>
      </c>
      <c r="P2" s="5" t="s">
        <v>1109</v>
      </c>
      <c r="Q2" s="5" t="s">
        <v>1110</v>
      </c>
    </row>
    <row r="3" customFormat="false" ht="46.25" hidden="false" customHeight="false" outlineLevel="0" collapsed="false">
      <c r="A3" s="5" t="n">
        <v>2</v>
      </c>
      <c r="B3" s="5" t="s">
        <v>824</v>
      </c>
      <c r="C3" s="11" t="s">
        <v>1111</v>
      </c>
      <c r="D3" s="11" t="s">
        <v>1112</v>
      </c>
      <c r="E3" s="11" t="s">
        <v>1113</v>
      </c>
      <c r="F3" s="11" t="s">
        <v>1114</v>
      </c>
      <c r="G3" s="11" t="s">
        <v>1115</v>
      </c>
      <c r="H3" s="11" t="s">
        <v>1116</v>
      </c>
      <c r="I3" s="11" t="s">
        <v>223</v>
      </c>
      <c r="J3" s="5" t="s">
        <v>11</v>
      </c>
      <c r="K3" s="5" t="s">
        <v>1117</v>
      </c>
      <c r="L3" s="5" t="n">
        <v>3</v>
      </c>
      <c r="M3" s="5" t="n">
        <v>3</v>
      </c>
      <c r="N3" s="5" t="s">
        <v>1109</v>
      </c>
      <c r="O3" s="5" t="s">
        <v>1109</v>
      </c>
      <c r="P3" s="5" t="s">
        <v>1109</v>
      </c>
      <c r="Q3" s="5" t="s">
        <v>1110</v>
      </c>
    </row>
    <row r="4" customFormat="false" ht="35.05" hidden="false" customHeight="false" outlineLevel="0" collapsed="false">
      <c r="A4" s="5" t="n">
        <v>3</v>
      </c>
      <c r="B4" s="5" t="s">
        <v>828</v>
      </c>
      <c r="C4" s="11" t="s">
        <v>1118</v>
      </c>
      <c r="D4" s="11" t="s">
        <v>1119</v>
      </c>
      <c r="E4" s="11" t="s">
        <v>1120</v>
      </c>
      <c r="F4" s="11" t="s">
        <v>1121</v>
      </c>
      <c r="G4" s="11" t="s">
        <v>1122</v>
      </c>
      <c r="H4" s="11" t="s">
        <v>1123</v>
      </c>
      <c r="I4" s="11" t="s">
        <v>234</v>
      </c>
      <c r="J4" s="5" t="s">
        <v>11</v>
      </c>
      <c r="K4" s="5"/>
      <c r="L4" s="5" t="n">
        <v>3</v>
      </c>
      <c r="M4" s="5" t="n">
        <v>3</v>
      </c>
      <c r="N4" s="5" t="s">
        <v>1109</v>
      </c>
      <c r="O4" s="5" t="s">
        <v>1109</v>
      </c>
      <c r="P4" s="5" t="s">
        <v>1109</v>
      </c>
      <c r="Q4" s="5" t="s">
        <v>1110</v>
      </c>
    </row>
    <row r="5" customFormat="false" ht="35.05" hidden="false" customHeight="false" outlineLevel="0" collapsed="false">
      <c r="A5" s="5" t="n">
        <v>4</v>
      </c>
      <c r="B5" s="5" t="s">
        <v>58</v>
      </c>
      <c r="C5" s="11" t="s">
        <v>1124</v>
      </c>
      <c r="D5" s="11" t="s">
        <v>1125</v>
      </c>
      <c r="E5" s="11" t="s">
        <v>1126</v>
      </c>
      <c r="F5" s="11" t="s">
        <v>1127</v>
      </c>
      <c r="G5" s="11" t="s">
        <v>1128</v>
      </c>
      <c r="H5" s="11" t="s">
        <v>1129</v>
      </c>
      <c r="I5" s="11" t="s">
        <v>244</v>
      </c>
      <c r="J5" s="5" t="s">
        <v>11</v>
      </c>
      <c r="K5" s="5" t="s">
        <v>1130</v>
      </c>
      <c r="L5" s="5" t="n">
        <v>2</v>
      </c>
      <c r="M5" s="5" t="n">
        <v>2</v>
      </c>
      <c r="N5" s="5" t="s">
        <v>1109</v>
      </c>
      <c r="O5" s="5" t="s">
        <v>1109</v>
      </c>
      <c r="P5" s="5" t="s">
        <v>1109</v>
      </c>
      <c r="Q5" s="5" t="s">
        <v>1110</v>
      </c>
    </row>
    <row r="6" customFormat="false" ht="46.25" hidden="false" customHeight="false" outlineLevel="0" collapsed="false">
      <c r="A6" s="5" t="n">
        <v>5</v>
      </c>
      <c r="B6" s="5" t="s">
        <v>62</v>
      </c>
      <c r="C6" s="11" t="s">
        <v>1131</v>
      </c>
      <c r="D6" s="11" t="s">
        <v>1132</v>
      </c>
      <c r="E6" s="11" t="s">
        <v>1133</v>
      </c>
      <c r="F6" s="11" t="s">
        <v>1134</v>
      </c>
      <c r="G6" s="11" t="s">
        <v>1135</v>
      </c>
      <c r="H6" s="11" t="s">
        <v>1136</v>
      </c>
      <c r="I6" s="11" t="s">
        <v>254</v>
      </c>
      <c r="J6" s="5" t="s">
        <v>17</v>
      </c>
      <c r="K6" s="5"/>
      <c r="L6" s="5" t="n">
        <v>2</v>
      </c>
      <c r="M6" s="5" t="n">
        <v>2</v>
      </c>
      <c r="N6" s="5" t="s">
        <v>1109</v>
      </c>
      <c r="O6" s="5" t="s">
        <v>1109</v>
      </c>
      <c r="P6" s="5" t="s">
        <v>1109</v>
      </c>
      <c r="Q6" s="5" t="s">
        <v>1110</v>
      </c>
    </row>
    <row r="7" customFormat="false" ht="35.05" hidden="false" customHeight="false" outlineLevel="0" collapsed="false">
      <c r="A7" s="5" t="n">
        <v>6</v>
      </c>
      <c r="B7" s="5" t="s">
        <v>839</v>
      </c>
      <c r="C7" s="11" t="s">
        <v>1137</v>
      </c>
      <c r="D7" s="11" t="s">
        <v>1138</v>
      </c>
      <c r="E7" s="11" t="s">
        <v>1139</v>
      </c>
      <c r="F7" s="11" t="s">
        <v>1140</v>
      </c>
      <c r="G7" s="11" t="s">
        <v>1141</v>
      </c>
      <c r="H7" s="11" t="s">
        <v>1142</v>
      </c>
      <c r="I7" s="11" t="s">
        <v>265</v>
      </c>
      <c r="J7" s="5" t="s">
        <v>17</v>
      </c>
      <c r="K7" s="5" t="s">
        <v>1130</v>
      </c>
      <c r="L7" s="5" t="n">
        <v>4</v>
      </c>
      <c r="M7" s="5" t="n">
        <v>3</v>
      </c>
      <c r="N7" s="5" t="s">
        <v>1109</v>
      </c>
      <c r="O7" s="5" t="s">
        <v>1109</v>
      </c>
      <c r="P7" s="5" t="s">
        <v>1109</v>
      </c>
      <c r="Q7" s="5" t="s">
        <v>1110</v>
      </c>
    </row>
    <row r="8" customFormat="false" ht="46.25" hidden="false" customHeight="false" outlineLevel="0" collapsed="false">
      <c r="A8" s="5" t="n">
        <v>7</v>
      </c>
      <c r="B8" s="5" t="s">
        <v>842</v>
      </c>
      <c r="C8" s="11" t="s">
        <v>1143</v>
      </c>
      <c r="D8" s="11" t="s">
        <v>1144</v>
      </c>
      <c r="E8" s="11" t="s">
        <v>1145</v>
      </c>
      <c r="F8" s="11" t="s">
        <v>1146</v>
      </c>
      <c r="G8" s="11" t="s">
        <v>1147</v>
      </c>
      <c r="H8" s="11" t="s">
        <v>1148</v>
      </c>
      <c r="I8" s="11" t="s">
        <v>275</v>
      </c>
      <c r="J8" s="5" t="s">
        <v>15</v>
      </c>
      <c r="K8" s="5" t="s">
        <v>1117</v>
      </c>
      <c r="L8" s="5" t="n">
        <v>2</v>
      </c>
      <c r="M8" s="5" t="n">
        <v>5</v>
      </c>
      <c r="N8" s="5" t="s">
        <v>1109</v>
      </c>
      <c r="O8" s="5" t="s">
        <v>1109</v>
      </c>
      <c r="P8" s="5" t="s">
        <v>1109</v>
      </c>
      <c r="Q8" s="5" t="s">
        <v>1110</v>
      </c>
    </row>
    <row r="9" customFormat="false" ht="46.25" hidden="false" customHeight="false" outlineLevel="0" collapsed="false">
      <c r="A9" s="5" t="n">
        <v>8</v>
      </c>
      <c r="B9" s="5" t="s">
        <v>847</v>
      </c>
      <c r="C9" s="11" t="s">
        <v>1149</v>
      </c>
      <c r="D9" s="11" t="s">
        <v>1150</v>
      </c>
      <c r="E9" s="11" t="s">
        <v>1151</v>
      </c>
      <c r="F9" s="11" t="s">
        <v>1152</v>
      </c>
      <c r="G9" s="11" t="s">
        <v>1153</v>
      </c>
      <c r="H9" s="11" t="s">
        <v>1154</v>
      </c>
      <c r="I9" s="11" t="s">
        <v>285</v>
      </c>
      <c r="J9" s="5" t="s">
        <v>17</v>
      </c>
      <c r="K9" s="5"/>
      <c r="L9" s="5" t="n">
        <v>2</v>
      </c>
      <c r="M9" s="5" t="n">
        <v>2</v>
      </c>
      <c r="N9" s="5" t="s">
        <v>1109</v>
      </c>
      <c r="O9" s="5" t="s">
        <v>1109</v>
      </c>
      <c r="P9" s="5" t="s">
        <v>1109</v>
      </c>
      <c r="Q9" s="5" t="s">
        <v>1110</v>
      </c>
    </row>
    <row r="10" customFormat="false" ht="35.05" hidden="false" customHeight="false" outlineLevel="0" collapsed="false">
      <c r="A10" s="5" t="n">
        <v>9</v>
      </c>
      <c r="B10" s="5" t="s">
        <v>852</v>
      </c>
      <c r="C10" s="11" t="s">
        <v>1155</v>
      </c>
      <c r="D10" s="11" t="s">
        <v>1156</v>
      </c>
      <c r="E10" s="11" t="s">
        <v>1157</v>
      </c>
      <c r="F10" s="11" t="s">
        <v>1158</v>
      </c>
      <c r="G10" s="11" t="s">
        <v>1159</v>
      </c>
      <c r="H10" s="11" t="s">
        <v>1160</v>
      </c>
      <c r="I10" s="11" t="s">
        <v>295</v>
      </c>
      <c r="J10" s="5" t="s">
        <v>17</v>
      </c>
      <c r="K10" s="5"/>
      <c r="L10" s="5" t="n">
        <v>3</v>
      </c>
      <c r="M10" s="5" t="n">
        <v>3</v>
      </c>
      <c r="N10" s="5" t="s">
        <v>1109</v>
      </c>
      <c r="O10" s="5" t="s">
        <v>1109</v>
      </c>
      <c r="P10" s="5" t="s">
        <v>1109</v>
      </c>
      <c r="Q10" s="5" t="s">
        <v>1110</v>
      </c>
    </row>
    <row r="11" customFormat="false" ht="23.85" hidden="false" customHeight="false" outlineLevel="0" collapsed="false">
      <c r="A11" s="5" t="n">
        <v>10</v>
      </c>
      <c r="B11" s="5" t="s">
        <v>852</v>
      </c>
      <c r="C11" s="11" t="s">
        <v>1155</v>
      </c>
      <c r="D11" s="11" t="s">
        <v>1156</v>
      </c>
      <c r="E11" s="11" t="s">
        <v>299</v>
      </c>
      <c r="F11" s="11" t="s">
        <v>1161</v>
      </c>
      <c r="G11" s="11" t="s">
        <v>301</v>
      </c>
      <c r="H11" s="11" t="s">
        <v>302</v>
      </c>
      <c r="I11" s="11" t="s">
        <v>305</v>
      </c>
      <c r="J11" s="5" t="s">
        <v>11</v>
      </c>
      <c r="K11" s="5"/>
      <c r="L11" s="5" t="n">
        <v>3</v>
      </c>
      <c r="M11" s="5" t="n">
        <v>3</v>
      </c>
      <c r="N11" s="5" t="s">
        <v>1109</v>
      </c>
      <c r="O11" s="5" t="s">
        <v>1109</v>
      </c>
      <c r="P11" s="5" t="s">
        <v>1109</v>
      </c>
      <c r="Q11" s="5" t="s">
        <v>1110</v>
      </c>
    </row>
    <row r="12" customFormat="false" ht="46.25" hidden="false" customHeight="false" outlineLevel="0" collapsed="false">
      <c r="A12" s="5" t="n">
        <v>11</v>
      </c>
      <c r="B12" s="5" t="s">
        <v>854</v>
      </c>
      <c r="C12" s="11" t="s">
        <v>1162</v>
      </c>
      <c r="D12" s="11" t="s">
        <v>1163</v>
      </c>
      <c r="E12" s="11" t="s">
        <v>1164</v>
      </c>
      <c r="F12" s="11" t="s">
        <v>1165</v>
      </c>
      <c r="G12" s="11" t="s">
        <v>1166</v>
      </c>
      <c r="H12" s="11" t="s">
        <v>1167</v>
      </c>
      <c r="I12" s="11" t="s">
        <v>316</v>
      </c>
      <c r="J12" s="5" t="s">
        <v>16</v>
      </c>
      <c r="K12" s="5" t="s">
        <v>1168</v>
      </c>
      <c r="L12" s="5" t="n">
        <v>2</v>
      </c>
      <c r="M12" s="5" t="n">
        <v>5</v>
      </c>
      <c r="N12" s="5" t="s">
        <v>1109</v>
      </c>
      <c r="O12" s="5" t="s">
        <v>1109</v>
      </c>
      <c r="P12" s="5" t="s">
        <v>1109</v>
      </c>
      <c r="Q12" s="5" t="s">
        <v>1110</v>
      </c>
    </row>
    <row r="13" customFormat="false" ht="46.25" hidden="false" customHeight="false" outlineLevel="0" collapsed="false">
      <c r="A13" s="5" t="n">
        <v>12</v>
      </c>
      <c r="B13" s="5" t="s">
        <v>857</v>
      </c>
      <c r="C13" s="11" t="s">
        <v>1169</v>
      </c>
      <c r="D13" s="11" t="s">
        <v>1170</v>
      </c>
      <c r="E13" s="11" t="s">
        <v>1171</v>
      </c>
      <c r="F13" s="11" t="s">
        <v>1172</v>
      </c>
      <c r="G13" s="11" t="s">
        <v>1173</v>
      </c>
      <c r="H13" s="11" t="s">
        <v>1174</v>
      </c>
      <c r="I13" s="11" t="s">
        <v>327</v>
      </c>
      <c r="J13" s="5" t="s">
        <v>16</v>
      </c>
      <c r="K13" s="5" t="s">
        <v>1175</v>
      </c>
      <c r="L13" s="5" t="n">
        <v>2</v>
      </c>
      <c r="M13" s="5" t="n">
        <v>5</v>
      </c>
      <c r="N13" s="5" t="s">
        <v>1109</v>
      </c>
      <c r="O13" s="5" t="s">
        <v>1109</v>
      </c>
      <c r="P13" s="5" t="s">
        <v>1109</v>
      </c>
      <c r="Q13" s="5" t="s">
        <v>1110</v>
      </c>
    </row>
    <row r="14" customFormat="false" ht="46.25" hidden="false" customHeight="false" outlineLevel="0" collapsed="false">
      <c r="A14" s="5" t="n">
        <v>13</v>
      </c>
      <c r="B14" s="5" t="s">
        <v>860</v>
      </c>
      <c r="C14" s="11" t="s">
        <v>1176</v>
      </c>
      <c r="D14" s="11" t="s">
        <v>1177</v>
      </c>
      <c r="E14" s="11" t="s">
        <v>1178</v>
      </c>
      <c r="F14" s="11" t="s">
        <v>1179</v>
      </c>
      <c r="G14" s="11" t="s">
        <v>1180</v>
      </c>
      <c r="H14" s="11" t="s">
        <v>1181</v>
      </c>
      <c r="I14" s="11" t="s">
        <v>337</v>
      </c>
      <c r="J14" s="5" t="s">
        <v>836</v>
      </c>
      <c r="K14" s="5"/>
      <c r="L14" s="5" t="n">
        <v>2</v>
      </c>
      <c r="M14" s="5" t="n">
        <v>2</v>
      </c>
      <c r="N14" s="5" t="s">
        <v>1109</v>
      </c>
      <c r="O14" s="5" t="s">
        <v>1109</v>
      </c>
      <c r="P14" s="5" t="s">
        <v>1109</v>
      </c>
      <c r="Q14" s="5" t="s">
        <v>1110</v>
      </c>
    </row>
    <row r="15" customFormat="false" ht="46.25" hidden="false" customHeight="false" outlineLevel="0" collapsed="false">
      <c r="A15" s="5" t="n">
        <v>14</v>
      </c>
      <c r="B15" s="5" t="s">
        <v>864</v>
      </c>
      <c r="C15" s="11" t="s">
        <v>1182</v>
      </c>
      <c r="D15" s="11" t="s">
        <v>1183</v>
      </c>
      <c r="E15" s="11" t="s">
        <v>1184</v>
      </c>
      <c r="F15" s="11" t="s">
        <v>1185</v>
      </c>
      <c r="G15" s="11" t="s">
        <v>1186</v>
      </c>
      <c r="H15" s="11" t="s">
        <v>1187</v>
      </c>
      <c r="I15" s="11" t="s">
        <v>348</v>
      </c>
      <c r="J15" s="5" t="s">
        <v>16</v>
      </c>
      <c r="K15" s="5" t="s">
        <v>1188</v>
      </c>
      <c r="L15" s="5" t="n">
        <v>2</v>
      </c>
      <c r="M15" s="5" t="n">
        <v>5</v>
      </c>
      <c r="N15" s="5" t="s">
        <v>1109</v>
      </c>
      <c r="O15" s="5" t="s">
        <v>1109</v>
      </c>
      <c r="P15" s="5" t="s">
        <v>1109</v>
      </c>
      <c r="Q15" s="5" t="s">
        <v>1110</v>
      </c>
    </row>
    <row r="16" customFormat="false" ht="35.05" hidden="false" customHeight="false" outlineLevel="0" collapsed="false">
      <c r="A16" s="5" t="n">
        <v>15</v>
      </c>
      <c r="B16" s="5" t="s">
        <v>88</v>
      </c>
      <c r="C16" s="11" t="s">
        <v>1189</v>
      </c>
      <c r="D16" s="11" t="s">
        <v>1190</v>
      </c>
      <c r="E16" s="11" t="s">
        <v>1191</v>
      </c>
      <c r="F16" s="11" t="s">
        <v>1192</v>
      </c>
      <c r="G16" s="11" t="s">
        <v>1193</v>
      </c>
      <c r="H16" s="11" t="s">
        <v>1194</v>
      </c>
      <c r="I16" s="11" t="s">
        <v>358</v>
      </c>
      <c r="J16" s="5" t="s">
        <v>10</v>
      </c>
      <c r="K16" s="5" t="s">
        <v>1195</v>
      </c>
      <c r="L16" s="5" t="n">
        <v>3</v>
      </c>
      <c r="M16" s="5" t="n">
        <v>3</v>
      </c>
      <c r="N16" s="5" t="s">
        <v>1109</v>
      </c>
      <c r="O16" s="5" t="s">
        <v>1109</v>
      </c>
      <c r="P16" s="5" t="s">
        <v>1109</v>
      </c>
      <c r="Q16" s="5" t="s">
        <v>1110</v>
      </c>
    </row>
    <row r="17" customFormat="false" ht="35.05" hidden="false" customHeight="false" outlineLevel="0" collapsed="false">
      <c r="A17" s="5" t="n">
        <v>16</v>
      </c>
      <c r="B17" s="5" t="s">
        <v>869</v>
      </c>
      <c r="C17" s="11" t="s">
        <v>1196</v>
      </c>
      <c r="D17" s="11" t="s">
        <v>1197</v>
      </c>
      <c r="E17" s="11" t="s">
        <v>1198</v>
      </c>
      <c r="F17" s="11" t="s">
        <v>1199</v>
      </c>
      <c r="G17" s="11" t="s">
        <v>1200</v>
      </c>
      <c r="H17" s="11" t="s">
        <v>1201</v>
      </c>
      <c r="I17" s="11" t="s">
        <v>369</v>
      </c>
      <c r="J17" s="5" t="s">
        <v>16</v>
      </c>
      <c r="K17" s="5" t="s">
        <v>1202</v>
      </c>
      <c r="L17" s="5" t="n">
        <v>4</v>
      </c>
      <c r="M17" s="5" t="n">
        <v>5</v>
      </c>
      <c r="N17" s="5" t="s">
        <v>8</v>
      </c>
      <c r="O17" s="5" t="s">
        <v>1109</v>
      </c>
      <c r="P17" s="5" t="s">
        <v>1109</v>
      </c>
      <c r="Q17" s="5" t="s">
        <v>1110</v>
      </c>
    </row>
    <row r="18" customFormat="false" ht="35.05" hidden="false" customHeight="false" outlineLevel="0" collapsed="false">
      <c r="A18" s="5" t="n">
        <v>17</v>
      </c>
      <c r="B18" s="5" t="s">
        <v>94</v>
      </c>
      <c r="C18" s="11" t="s">
        <v>1203</v>
      </c>
      <c r="D18" s="11" t="s">
        <v>1204</v>
      </c>
      <c r="E18" s="11" t="s">
        <v>1205</v>
      </c>
      <c r="F18" s="11" t="s">
        <v>1206</v>
      </c>
      <c r="G18" s="11" t="s">
        <v>1207</v>
      </c>
      <c r="H18" s="11" t="s">
        <v>1208</v>
      </c>
      <c r="I18" s="11" t="s">
        <v>380</v>
      </c>
      <c r="J18" s="5" t="s">
        <v>11</v>
      </c>
      <c r="K18" s="5" t="s">
        <v>1175</v>
      </c>
      <c r="L18" s="5" t="n">
        <v>4</v>
      </c>
      <c r="M18" s="5" t="n">
        <v>3</v>
      </c>
      <c r="N18" s="5" t="s">
        <v>1109</v>
      </c>
      <c r="O18" s="5" t="s">
        <v>1109</v>
      </c>
      <c r="P18" s="5" t="s">
        <v>1109</v>
      </c>
      <c r="Q18" s="5" t="s">
        <v>1110</v>
      </c>
    </row>
    <row r="19" customFormat="false" ht="35.05" hidden="false" customHeight="false" outlineLevel="0" collapsed="false">
      <c r="A19" s="5" t="n">
        <v>18</v>
      </c>
      <c r="B19" s="5" t="s">
        <v>877</v>
      </c>
      <c r="C19" s="11" t="s">
        <v>1209</v>
      </c>
      <c r="D19" s="11" t="s">
        <v>1210</v>
      </c>
      <c r="E19" s="11" t="s">
        <v>1211</v>
      </c>
      <c r="F19" s="11" t="s">
        <v>1212</v>
      </c>
      <c r="G19" s="11" t="s">
        <v>1213</v>
      </c>
      <c r="H19" s="11" t="s">
        <v>1214</v>
      </c>
      <c r="I19" s="11" t="s">
        <v>390</v>
      </c>
      <c r="J19" s="5" t="s">
        <v>17</v>
      </c>
      <c r="K19" s="5" t="s">
        <v>1215</v>
      </c>
      <c r="L19" s="5" t="n">
        <v>4</v>
      </c>
      <c r="M19" s="5" t="n">
        <v>2</v>
      </c>
      <c r="N19" s="5" t="s">
        <v>1109</v>
      </c>
      <c r="O19" s="5" t="s">
        <v>1109</v>
      </c>
      <c r="P19" s="5" t="s">
        <v>1109</v>
      </c>
      <c r="Q19" s="5" t="s">
        <v>1110</v>
      </c>
    </row>
    <row r="20" customFormat="false" ht="35.05" hidden="false" customHeight="false" outlineLevel="0" collapsed="false">
      <c r="A20" s="5" t="n">
        <v>19</v>
      </c>
      <c r="B20" s="5" t="s">
        <v>882</v>
      </c>
      <c r="C20" s="11" t="s">
        <v>1216</v>
      </c>
      <c r="D20" s="11" t="s">
        <v>1217</v>
      </c>
      <c r="E20" s="11" t="s">
        <v>1218</v>
      </c>
      <c r="F20" s="11" t="s">
        <v>1219</v>
      </c>
      <c r="G20" s="11" t="s">
        <v>1220</v>
      </c>
      <c r="H20" s="11" t="s">
        <v>1221</v>
      </c>
      <c r="I20" s="11" t="s">
        <v>401</v>
      </c>
      <c r="J20" s="5" t="s">
        <v>17</v>
      </c>
      <c r="K20" s="5"/>
      <c r="L20" s="5" t="n">
        <v>3</v>
      </c>
      <c r="M20" s="5" t="n">
        <v>3</v>
      </c>
      <c r="N20" s="5" t="s">
        <v>1109</v>
      </c>
      <c r="O20" s="5" t="s">
        <v>1109</v>
      </c>
      <c r="P20" s="5" t="s">
        <v>1109</v>
      </c>
      <c r="Q20" s="5" t="s">
        <v>1110</v>
      </c>
    </row>
    <row r="21" customFormat="false" ht="46.25" hidden="false" customHeight="false" outlineLevel="0" collapsed="false">
      <c r="A21" s="5" t="n">
        <v>20</v>
      </c>
      <c r="B21" s="5" t="s">
        <v>885</v>
      </c>
      <c r="C21" s="11" t="s">
        <v>1222</v>
      </c>
      <c r="D21" s="11" t="s">
        <v>1223</v>
      </c>
      <c r="E21" s="11" t="s">
        <v>1224</v>
      </c>
      <c r="F21" s="11" t="s">
        <v>1225</v>
      </c>
      <c r="G21" s="11" t="s">
        <v>1226</v>
      </c>
      <c r="H21" s="11" t="s">
        <v>1227</v>
      </c>
      <c r="I21" s="11" t="s">
        <v>411</v>
      </c>
      <c r="J21" s="5" t="s">
        <v>10</v>
      </c>
      <c r="K21" s="5" t="s">
        <v>1215</v>
      </c>
      <c r="L21" s="5" t="n">
        <v>4</v>
      </c>
      <c r="M21" s="5" t="n">
        <v>5</v>
      </c>
      <c r="N21" s="5" t="s">
        <v>1109</v>
      </c>
      <c r="O21" s="5" t="s">
        <v>1109</v>
      </c>
      <c r="P21" s="5" t="s">
        <v>1109</v>
      </c>
      <c r="Q21" s="5" t="s">
        <v>1110</v>
      </c>
    </row>
    <row r="22" customFormat="false" ht="46.25" hidden="false" customHeight="false" outlineLevel="0" collapsed="false">
      <c r="A22" s="5" t="n">
        <v>21</v>
      </c>
      <c r="B22" s="5" t="s">
        <v>102</v>
      </c>
      <c r="C22" s="11" t="s">
        <v>1228</v>
      </c>
      <c r="D22" s="11" t="s">
        <v>1229</v>
      </c>
      <c r="E22" s="11" t="s">
        <v>1230</v>
      </c>
      <c r="F22" s="11" t="s">
        <v>1231</v>
      </c>
      <c r="G22" s="11" t="s">
        <v>1232</v>
      </c>
      <c r="H22" s="11" t="s">
        <v>1233</v>
      </c>
      <c r="I22" s="11" t="s">
        <v>421</v>
      </c>
      <c r="J22" s="5" t="s">
        <v>15</v>
      </c>
      <c r="K22" s="5" t="s">
        <v>1215</v>
      </c>
      <c r="L22" s="5" t="n">
        <v>2</v>
      </c>
      <c r="M22" s="5" t="n">
        <v>5</v>
      </c>
      <c r="N22" s="5" t="s">
        <v>1109</v>
      </c>
      <c r="O22" s="5" t="s">
        <v>1109</v>
      </c>
      <c r="P22" s="5" t="s">
        <v>1109</v>
      </c>
      <c r="Q22" s="5" t="s">
        <v>1110</v>
      </c>
    </row>
    <row r="23" customFormat="false" ht="46.25" hidden="false" customHeight="false" outlineLevel="0" collapsed="false">
      <c r="A23" s="5" t="n">
        <v>22</v>
      </c>
      <c r="B23" s="5" t="s">
        <v>892</v>
      </c>
      <c r="C23" s="11" t="s">
        <v>1234</v>
      </c>
      <c r="D23" s="11" t="s">
        <v>1235</v>
      </c>
      <c r="E23" s="11" t="s">
        <v>1236</v>
      </c>
      <c r="F23" s="11" t="s">
        <v>1237</v>
      </c>
      <c r="G23" s="11" t="s">
        <v>1238</v>
      </c>
      <c r="H23" s="11" t="s">
        <v>1239</v>
      </c>
      <c r="I23" s="11" t="s">
        <v>431</v>
      </c>
      <c r="J23" s="5" t="s">
        <v>10</v>
      </c>
      <c r="K23" s="5" t="s">
        <v>1117</v>
      </c>
      <c r="L23" s="5" t="n">
        <v>2</v>
      </c>
      <c r="M23" s="5" t="n">
        <v>5</v>
      </c>
      <c r="N23" s="5" t="s">
        <v>1109</v>
      </c>
      <c r="O23" s="5" t="s">
        <v>1109</v>
      </c>
      <c r="P23" s="5" t="s">
        <v>1109</v>
      </c>
      <c r="Q23" s="5" t="s">
        <v>1110</v>
      </c>
    </row>
    <row r="24" customFormat="false" ht="35.05" hidden="false" customHeight="false" outlineLevel="0" collapsed="false">
      <c r="A24" s="5" t="n">
        <v>23</v>
      </c>
      <c r="B24" s="5" t="s">
        <v>896</v>
      </c>
      <c r="C24" s="11" t="s">
        <v>1240</v>
      </c>
      <c r="D24" s="11" t="s">
        <v>1144</v>
      </c>
      <c r="E24" s="11" t="s">
        <v>1241</v>
      </c>
      <c r="F24" s="11" t="s">
        <v>1242</v>
      </c>
      <c r="G24" s="11" t="s">
        <v>1243</v>
      </c>
      <c r="H24" s="11" t="s">
        <v>1244</v>
      </c>
      <c r="I24" s="11" t="s">
        <v>441</v>
      </c>
      <c r="J24" s="5" t="s">
        <v>15</v>
      </c>
      <c r="K24" s="5" t="s">
        <v>1245</v>
      </c>
      <c r="L24" s="5" t="n">
        <v>3</v>
      </c>
      <c r="M24" s="5" t="n">
        <v>3</v>
      </c>
      <c r="N24" s="5" t="s">
        <v>1109</v>
      </c>
      <c r="O24" s="5" t="s">
        <v>1109</v>
      </c>
      <c r="P24" s="5" t="s">
        <v>1109</v>
      </c>
      <c r="Q24" s="5" t="s">
        <v>1110</v>
      </c>
    </row>
    <row r="25" customFormat="false" ht="35.05" hidden="false" customHeight="false" outlineLevel="0" collapsed="false">
      <c r="A25" s="5" t="n">
        <v>24</v>
      </c>
      <c r="B25" s="5" t="s">
        <v>899</v>
      </c>
      <c r="C25" s="11" t="s">
        <v>1246</v>
      </c>
      <c r="D25" s="11" t="s">
        <v>1247</v>
      </c>
      <c r="E25" s="11" t="s">
        <v>1248</v>
      </c>
      <c r="F25" s="11" t="s">
        <v>1249</v>
      </c>
      <c r="G25" s="11" t="s">
        <v>1250</v>
      </c>
      <c r="H25" s="11" t="s">
        <v>1251</v>
      </c>
      <c r="I25" s="11" t="s">
        <v>452</v>
      </c>
      <c r="J25" s="5" t="s">
        <v>15</v>
      </c>
      <c r="K25" s="5" t="s">
        <v>1168</v>
      </c>
      <c r="L25" s="5" t="n">
        <v>4</v>
      </c>
      <c r="M25" s="5" t="n">
        <v>2</v>
      </c>
      <c r="N25" s="5" t="s">
        <v>1109</v>
      </c>
      <c r="O25" s="5" t="s">
        <v>1109</v>
      </c>
      <c r="P25" s="5" t="s">
        <v>1109</v>
      </c>
      <c r="Q25" s="5" t="s">
        <v>1110</v>
      </c>
    </row>
    <row r="26" customFormat="false" ht="46.25" hidden="false" customHeight="false" outlineLevel="0" collapsed="false">
      <c r="A26" s="5" t="n">
        <v>25</v>
      </c>
      <c r="B26" s="5" t="s">
        <v>902</v>
      </c>
      <c r="C26" s="11" t="s">
        <v>1252</v>
      </c>
      <c r="D26" s="11" t="s">
        <v>1253</v>
      </c>
      <c r="E26" s="11" t="s">
        <v>1254</v>
      </c>
      <c r="F26" s="11" t="s">
        <v>1255</v>
      </c>
      <c r="G26" s="11" t="s">
        <v>1256</v>
      </c>
      <c r="H26" s="11" t="s">
        <v>1257</v>
      </c>
      <c r="I26" s="11" t="s">
        <v>461</v>
      </c>
      <c r="J26" s="5" t="s">
        <v>15</v>
      </c>
      <c r="K26" s="5" t="s">
        <v>1215</v>
      </c>
      <c r="L26" s="5" t="n">
        <v>2</v>
      </c>
      <c r="M26" s="5" t="n">
        <v>2</v>
      </c>
      <c r="N26" s="5" t="s">
        <v>1109</v>
      </c>
      <c r="O26" s="5" t="s">
        <v>1109</v>
      </c>
      <c r="P26" s="5" t="s">
        <v>1109</v>
      </c>
      <c r="Q26" s="5" t="s">
        <v>1110</v>
      </c>
    </row>
    <row r="27" customFormat="false" ht="46.25" hidden="false" customHeight="false" outlineLevel="0" collapsed="false">
      <c r="A27" s="5" t="n">
        <v>26</v>
      </c>
      <c r="B27" s="5" t="s">
        <v>906</v>
      </c>
      <c r="C27" s="11" t="s">
        <v>1258</v>
      </c>
      <c r="D27" s="11" t="s">
        <v>1259</v>
      </c>
      <c r="E27" s="11" t="s">
        <v>1260</v>
      </c>
      <c r="F27" s="11" t="s">
        <v>1261</v>
      </c>
      <c r="G27" s="11" t="s">
        <v>1262</v>
      </c>
      <c r="H27" s="11" t="s">
        <v>1263</v>
      </c>
      <c r="I27" s="11" t="s">
        <v>471</v>
      </c>
      <c r="J27" s="5" t="s">
        <v>11</v>
      </c>
      <c r="K27" s="5" t="s">
        <v>1130</v>
      </c>
      <c r="L27" s="5" t="n">
        <v>4</v>
      </c>
      <c r="M27" s="5" t="n">
        <v>3</v>
      </c>
      <c r="N27" s="5" t="s">
        <v>1109</v>
      </c>
      <c r="O27" s="5" t="s">
        <v>1109</v>
      </c>
      <c r="P27" s="5" t="s">
        <v>1109</v>
      </c>
      <c r="Q27" s="5" t="s">
        <v>1110</v>
      </c>
    </row>
    <row r="28" customFormat="false" ht="46.25" hidden="false" customHeight="false" outlineLevel="0" collapsed="false">
      <c r="A28" s="5" t="n">
        <v>27</v>
      </c>
      <c r="B28" s="5" t="s">
        <v>115</v>
      </c>
      <c r="C28" s="11" t="s">
        <v>1264</v>
      </c>
      <c r="D28" s="11" t="s">
        <v>1265</v>
      </c>
      <c r="E28" s="11" t="s">
        <v>1266</v>
      </c>
      <c r="F28" s="11" t="s">
        <v>1267</v>
      </c>
      <c r="G28" s="11" t="s">
        <v>1268</v>
      </c>
      <c r="H28" s="11" t="s">
        <v>1269</v>
      </c>
      <c r="I28" s="11" t="s">
        <v>482</v>
      </c>
      <c r="J28" s="5" t="s">
        <v>15</v>
      </c>
      <c r="K28" s="5" t="s">
        <v>1117</v>
      </c>
      <c r="L28" s="5" t="n">
        <v>2</v>
      </c>
      <c r="M28" s="5" t="n">
        <v>5</v>
      </c>
      <c r="N28" s="5" t="s">
        <v>1109</v>
      </c>
      <c r="O28" s="5" t="s">
        <v>1109</v>
      </c>
      <c r="P28" s="5" t="s">
        <v>1109</v>
      </c>
      <c r="Q28" s="5" t="s">
        <v>1110</v>
      </c>
    </row>
    <row r="29" customFormat="false" ht="46.25" hidden="false" customHeight="false" outlineLevel="0" collapsed="false">
      <c r="A29" s="5" t="n">
        <v>28</v>
      </c>
      <c r="B29" s="5" t="s">
        <v>914</v>
      </c>
      <c r="C29" s="11" t="s">
        <v>1270</v>
      </c>
      <c r="D29" s="11" t="s">
        <v>1271</v>
      </c>
      <c r="E29" s="11" t="s">
        <v>1272</v>
      </c>
      <c r="F29" s="11" t="s">
        <v>1273</v>
      </c>
      <c r="G29" s="11" t="s">
        <v>1274</v>
      </c>
      <c r="H29" s="11" t="s">
        <v>1275</v>
      </c>
      <c r="I29" s="11" t="s">
        <v>492</v>
      </c>
      <c r="J29" s="5" t="s">
        <v>10</v>
      </c>
      <c r="K29" s="5" t="s">
        <v>1117</v>
      </c>
      <c r="L29" s="5" t="n">
        <v>2</v>
      </c>
      <c r="M29" s="5" t="n">
        <v>5</v>
      </c>
      <c r="N29" s="5" t="s">
        <v>8</v>
      </c>
      <c r="O29" s="5" t="s">
        <v>1109</v>
      </c>
      <c r="P29" s="5" t="s">
        <v>1109</v>
      </c>
      <c r="Q29" s="5" t="s">
        <v>1110</v>
      </c>
    </row>
    <row r="30" customFormat="false" ht="35.05" hidden="false" customHeight="false" outlineLevel="0" collapsed="false">
      <c r="A30" s="5" t="n">
        <v>29</v>
      </c>
      <c r="B30" s="5" t="s">
        <v>917</v>
      </c>
      <c r="C30" s="11" t="s">
        <v>1276</v>
      </c>
      <c r="D30" s="11" t="s">
        <v>1277</v>
      </c>
      <c r="E30" s="11" t="s">
        <v>1278</v>
      </c>
      <c r="F30" s="11" t="s">
        <v>1279</v>
      </c>
      <c r="G30" s="11" t="s">
        <v>1280</v>
      </c>
      <c r="H30" s="11" t="s">
        <v>1281</v>
      </c>
      <c r="I30" s="11" t="s">
        <v>502</v>
      </c>
      <c r="J30" s="5" t="s">
        <v>10</v>
      </c>
      <c r="K30" s="5" t="s">
        <v>1282</v>
      </c>
      <c r="L30" s="5" t="n">
        <v>3</v>
      </c>
      <c r="M30" s="5" t="n">
        <v>5</v>
      </c>
      <c r="N30" s="5" t="s">
        <v>1109</v>
      </c>
      <c r="O30" s="5" t="s">
        <v>1109</v>
      </c>
      <c r="P30" s="5" t="s">
        <v>1109</v>
      </c>
      <c r="Q30" s="5" t="s">
        <v>1110</v>
      </c>
    </row>
    <row r="31" customFormat="false" ht="35.05" hidden="false" customHeight="false" outlineLevel="0" collapsed="false">
      <c r="A31" s="5" t="n">
        <v>30</v>
      </c>
      <c r="B31" s="5" t="s">
        <v>921</v>
      </c>
      <c r="C31" s="11" t="s">
        <v>1283</v>
      </c>
      <c r="D31" s="11" t="s">
        <v>1284</v>
      </c>
      <c r="E31" s="11" t="s">
        <v>1285</v>
      </c>
      <c r="F31" s="11" t="s">
        <v>1286</v>
      </c>
      <c r="G31" s="11" t="s">
        <v>1287</v>
      </c>
      <c r="H31" s="11" t="s">
        <v>1288</v>
      </c>
      <c r="I31" s="11" t="s">
        <v>512</v>
      </c>
      <c r="J31" s="5" t="s">
        <v>10</v>
      </c>
      <c r="K31" s="5" t="s">
        <v>1117</v>
      </c>
      <c r="L31" s="5" t="n">
        <v>3</v>
      </c>
      <c r="M31" s="5" t="n">
        <v>3</v>
      </c>
      <c r="N31" s="5" t="s">
        <v>1109</v>
      </c>
      <c r="O31" s="5" t="s">
        <v>1109</v>
      </c>
      <c r="P31" s="5" t="s">
        <v>1109</v>
      </c>
      <c r="Q31" s="5" t="s">
        <v>1110</v>
      </c>
    </row>
    <row r="32" customFormat="false" ht="35.05" hidden="false" customHeight="false" outlineLevel="0" collapsed="false">
      <c r="A32" s="5" t="n">
        <v>31</v>
      </c>
      <c r="B32" s="5" t="s">
        <v>924</v>
      </c>
      <c r="C32" s="11" t="s">
        <v>1289</v>
      </c>
      <c r="D32" s="11" t="s">
        <v>1290</v>
      </c>
      <c r="E32" s="11" t="s">
        <v>1291</v>
      </c>
      <c r="F32" s="11" t="s">
        <v>1292</v>
      </c>
      <c r="G32" s="11" t="s">
        <v>1293</v>
      </c>
      <c r="H32" s="11" t="s">
        <v>1294</v>
      </c>
      <c r="I32" s="11" t="s">
        <v>522</v>
      </c>
      <c r="J32" s="5" t="s">
        <v>11</v>
      </c>
      <c r="K32" s="5"/>
      <c r="L32" s="5" t="n">
        <v>3</v>
      </c>
      <c r="M32" s="5" t="n">
        <v>3</v>
      </c>
      <c r="N32" s="5" t="s">
        <v>1109</v>
      </c>
      <c r="O32" s="5" t="s">
        <v>1109</v>
      </c>
      <c r="P32" s="5" t="s">
        <v>1109</v>
      </c>
      <c r="Q32" s="5" t="s">
        <v>1110</v>
      </c>
    </row>
    <row r="33" customFormat="false" ht="46.25" hidden="false" customHeight="false" outlineLevel="0" collapsed="false">
      <c r="A33" s="5" t="n">
        <v>32</v>
      </c>
      <c r="B33" s="5" t="s">
        <v>928</v>
      </c>
      <c r="C33" s="11" t="s">
        <v>1295</v>
      </c>
      <c r="D33" s="11" t="s">
        <v>1296</v>
      </c>
      <c r="E33" s="11" t="s">
        <v>1297</v>
      </c>
      <c r="F33" s="11" t="s">
        <v>1298</v>
      </c>
      <c r="G33" s="11" t="s">
        <v>1299</v>
      </c>
      <c r="H33" s="11" t="s">
        <v>1300</v>
      </c>
      <c r="I33" s="11" t="s">
        <v>531</v>
      </c>
      <c r="J33" s="5" t="s">
        <v>836</v>
      </c>
      <c r="K33" s="5" t="s">
        <v>1130</v>
      </c>
      <c r="L33" s="5" t="n">
        <v>2</v>
      </c>
      <c r="M33" s="5" t="n">
        <v>2</v>
      </c>
      <c r="N33" s="5" t="s">
        <v>1109</v>
      </c>
      <c r="O33" s="5" t="s">
        <v>1109</v>
      </c>
      <c r="P33" s="5" t="s">
        <v>1109</v>
      </c>
      <c r="Q33" s="5" t="s">
        <v>1110</v>
      </c>
    </row>
    <row r="34" customFormat="false" ht="35.05" hidden="false" customHeight="false" outlineLevel="0" collapsed="false">
      <c r="A34" s="5" t="n">
        <v>33</v>
      </c>
      <c r="B34" s="5" t="s">
        <v>932</v>
      </c>
      <c r="C34" s="11" t="s">
        <v>1301</v>
      </c>
      <c r="D34" s="11" t="s">
        <v>1302</v>
      </c>
      <c r="E34" s="11" t="s">
        <v>1303</v>
      </c>
      <c r="F34" s="11" t="s">
        <v>1304</v>
      </c>
      <c r="G34" s="11" t="s">
        <v>1305</v>
      </c>
      <c r="H34" s="11" t="s">
        <v>1306</v>
      </c>
      <c r="I34" s="11" t="s">
        <v>542</v>
      </c>
      <c r="J34" s="5" t="s">
        <v>16</v>
      </c>
      <c r="K34" s="5" t="s">
        <v>1195</v>
      </c>
      <c r="L34" s="5" t="n">
        <v>2</v>
      </c>
      <c r="M34" s="5" t="n">
        <v>2</v>
      </c>
      <c r="N34" s="5" t="s">
        <v>1109</v>
      </c>
      <c r="O34" s="5" t="s">
        <v>1109</v>
      </c>
      <c r="P34" s="5" t="s">
        <v>1109</v>
      </c>
      <c r="Q34" s="5" t="s">
        <v>1110</v>
      </c>
    </row>
    <row r="35" customFormat="false" ht="46.25" hidden="false" customHeight="false" outlineLevel="0" collapsed="false">
      <c r="A35" s="5" t="n">
        <v>34</v>
      </c>
      <c r="B35" s="5" t="s">
        <v>935</v>
      </c>
      <c r="C35" s="11" t="s">
        <v>1307</v>
      </c>
      <c r="D35" s="11" t="s">
        <v>1308</v>
      </c>
      <c r="E35" s="11" t="s">
        <v>1309</v>
      </c>
      <c r="F35" s="11" t="s">
        <v>1310</v>
      </c>
      <c r="G35" s="11" t="s">
        <v>1311</v>
      </c>
      <c r="H35" s="11" t="s">
        <v>1312</v>
      </c>
      <c r="I35" s="11" t="s">
        <v>552</v>
      </c>
      <c r="J35" s="5" t="s">
        <v>14</v>
      </c>
      <c r="K35" s="5" t="s">
        <v>1117</v>
      </c>
      <c r="L35" s="5" t="n">
        <v>2</v>
      </c>
      <c r="M35" s="5" t="n">
        <v>5</v>
      </c>
      <c r="N35" s="5" t="s">
        <v>1109</v>
      </c>
      <c r="O35" s="5" t="s">
        <v>1109</v>
      </c>
      <c r="P35" s="5" t="s">
        <v>1109</v>
      </c>
      <c r="Q35" s="5" t="s">
        <v>1110</v>
      </c>
    </row>
    <row r="36" customFormat="false" ht="46.25" hidden="false" customHeight="false" outlineLevel="0" collapsed="false">
      <c r="A36" s="5" t="n">
        <v>35</v>
      </c>
      <c r="B36" s="5" t="s">
        <v>132</v>
      </c>
      <c r="C36" s="11" t="s">
        <v>1313</v>
      </c>
      <c r="D36" s="11" t="s">
        <v>555</v>
      </c>
      <c r="E36" s="11" t="s">
        <v>1314</v>
      </c>
      <c r="F36" s="11" t="s">
        <v>1315</v>
      </c>
      <c r="G36" s="11" t="s">
        <v>1316</v>
      </c>
      <c r="H36" s="11" t="s">
        <v>1317</v>
      </c>
      <c r="I36" s="11" t="s">
        <v>562</v>
      </c>
      <c r="J36" s="5" t="s">
        <v>16</v>
      </c>
      <c r="K36" s="5" t="s">
        <v>1318</v>
      </c>
      <c r="L36" s="5" t="n">
        <v>2</v>
      </c>
      <c r="M36" s="5" t="n">
        <v>5</v>
      </c>
      <c r="N36" s="5" t="s">
        <v>1109</v>
      </c>
      <c r="O36" s="5" t="s">
        <v>1109</v>
      </c>
      <c r="P36" s="5" t="s">
        <v>1109</v>
      </c>
      <c r="Q36" s="5" t="s">
        <v>1110</v>
      </c>
    </row>
    <row r="37" customFormat="false" ht="35.05" hidden="false" customHeight="false" outlineLevel="0" collapsed="false">
      <c r="A37" s="5" t="n">
        <v>36</v>
      </c>
      <c r="B37" s="5" t="s">
        <v>134</v>
      </c>
      <c r="C37" s="11" t="s">
        <v>1319</v>
      </c>
      <c r="D37" s="11" t="s">
        <v>1320</v>
      </c>
      <c r="E37" s="11" t="s">
        <v>1321</v>
      </c>
      <c r="F37" s="11" t="s">
        <v>1322</v>
      </c>
      <c r="G37" s="11" t="s">
        <v>1323</v>
      </c>
      <c r="H37" s="11" t="s">
        <v>1324</v>
      </c>
      <c r="I37" s="11" t="s">
        <v>572</v>
      </c>
      <c r="J37" s="5" t="s">
        <v>11</v>
      </c>
      <c r="K37" s="5" t="s">
        <v>1117</v>
      </c>
      <c r="L37" s="5" t="n">
        <v>3</v>
      </c>
      <c r="M37" s="5" t="n">
        <v>3</v>
      </c>
      <c r="N37" s="5" t="s">
        <v>1109</v>
      </c>
      <c r="O37" s="5" t="s">
        <v>1109</v>
      </c>
      <c r="P37" s="5" t="s">
        <v>1109</v>
      </c>
      <c r="Q37" s="5" t="s">
        <v>1110</v>
      </c>
    </row>
    <row r="38" customFormat="false" ht="35.05" hidden="false" customHeight="false" outlineLevel="0" collapsed="false">
      <c r="A38" s="5" t="n">
        <v>37</v>
      </c>
      <c r="B38" s="5" t="s">
        <v>944</v>
      </c>
      <c r="C38" s="11" t="s">
        <v>1319</v>
      </c>
      <c r="D38" s="11" t="s">
        <v>1320</v>
      </c>
      <c r="E38" s="11" t="s">
        <v>1325</v>
      </c>
      <c r="F38" s="11" t="s">
        <v>1326</v>
      </c>
      <c r="G38" s="11" t="s">
        <v>1327</v>
      </c>
      <c r="H38" s="11" t="s">
        <v>1328</v>
      </c>
      <c r="I38" s="11" t="s">
        <v>582</v>
      </c>
      <c r="J38" s="5" t="s">
        <v>11</v>
      </c>
      <c r="K38" s="5" t="s">
        <v>1117</v>
      </c>
      <c r="L38" s="5" t="n">
        <v>4</v>
      </c>
      <c r="M38" s="5" t="n">
        <v>3</v>
      </c>
      <c r="N38" s="5" t="s">
        <v>1109</v>
      </c>
      <c r="O38" s="5" t="s">
        <v>1109</v>
      </c>
      <c r="P38" s="5" t="s">
        <v>1109</v>
      </c>
      <c r="Q38" s="5" t="s">
        <v>1110</v>
      </c>
    </row>
    <row r="39" customFormat="false" ht="46.25" hidden="false" customHeight="false" outlineLevel="0" collapsed="false">
      <c r="A39" s="5" t="n">
        <v>38</v>
      </c>
      <c r="B39" s="5" t="s">
        <v>947</v>
      </c>
      <c r="C39" s="11" t="s">
        <v>1329</v>
      </c>
      <c r="D39" s="11" t="s">
        <v>1330</v>
      </c>
      <c r="E39" s="11" t="s">
        <v>1331</v>
      </c>
      <c r="F39" s="11" t="s">
        <v>1332</v>
      </c>
      <c r="G39" s="11" t="s">
        <v>1333</v>
      </c>
      <c r="H39" s="11" t="s">
        <v>1334</v>
      </c>
      <c r="I39" s="11" t="s">
        <v>592</v>
      </c>
      <c r="J39" s="5" t="s">
        <v>13</v>
      </c>
      <c r="K39" s="5" t="s">
        <v>1318</v>
      </c>
      <c r="L39" s="5" t="n">
        <v>2</v>
      </c>
      <c r="M39" s="5" t="n">
        <v>2</v>
      </c>
      <c r="N39" s="5" t="s">
        <v>1109</v>
      </c>
      <c r="O39" s="5" t="s">
        <v>1109</v>
      </c>
      <c r="P39" s="5" t="s">
        <v>1109</v>
      </c>
      <c r="Q39" s="5" t="s">
        <v>1110</v>
      </c>
    </row>
    <row r="40" customFormat="false" ht="35.05" hidden="false" customHeight="false" outlineLevel="0" collapsed="false">
      <c r="A40" s="5" t="n">
        <v>39</v>
      </c>
      <c r="B40" s="5" t="s">
        <v>949</v>
      </c>
      <c r="C40" s="11" t="s">
        <v>1335</v>
      </c>
      <c r="D40" s="11" t="s">
        <v>1336</v>
      </c>
      <c r="E40" s="11" t="s">
        <v>1337</v>
      </c>
      <c r="F40" s="11" t="s">
        <v>1338</v>
      </c>
      <c r="G40" s="11" t="s">
        <v>1339</v>
      </c>
      <c r="H40" s="11" t="s">
        <v>1340</v>
      </c>
      <c r="I40" s="11" t="s">
        <v>602</v>
      </c>
      <c r="J40" s="5" t="s">
        <v>10</v>
      </c>
      <c r="K40" s="5" t="s">
        <v>1130</v>
      </c>
      <c r="L40" s="5" t="n">
        <v>3</v>
      </c>
      <c r="M40" s="5" t="n">
        <v>3</v>
      </c>
      <c r="N40" s="5" t="s">
        <v>1109</v>
      </c>
      <c r="O40" s="5" t="s">
        <v>1109</v>
      </c>
      <c r="P40" s="5" t="s">
        <v>1109</v>
      </c>
      <c r="Q40" s="5" t="s">
        <v>1110</v>
      </c>
    </row>
    <row r="41" customFormat="false" ht="35.05" hidden="false" customHeight="false" outlineLevel="0" collapsed="false">
      <c r="A41" s="5" t="n">
        <v>40</v>
      </c>
      <c r="B41" s="5" t="s">
        <v>952</v>
      </c>
      <c r="C41" s="11" t="s">
        <v>1341</v>
      </c>
      <c r="D41" s="11" t="s">
        <v>1342</v>
      </c>
      <c r="E41" s="11" t="s">
        <v>1343</v>
      </c>
      <c r="F41" s="11" t="s">
        <v>1344</v>
      </c>
      <c r="G41" s="11" t="s">
        <v>1345</v>
      </c>
      <c r="H41" s="11" t="s">
        <v>1346</v>
      </c>
      <c r="I41" s="11" t="s">
        <v>612</v>
      </c>
      <c r="J41" s="5" t="s">
        <v>17</v>
      </c>
      <c r="K41" s="5"/>
      <c r="L41" s="5" t="n">
        <v>3</v>
      </c>
      <c r="M41" s="5" t="n">
        <v>3</v>
      </c>
      <c r="N41" s="5" t="s">
        <v>1109</v>
      </c>
      <c r="O41" s="5" t="s">
        <v>1109</v>
      </c>
      <c r="P41" s="5" t="s">
        <v>1109</v>
      </c>
      <c r="Q41" s="5" t="s">
        <v>1110</v>
      </c>
    </row>
    <row r="42" customFormat="false" ht="35.05" hidden="false" customHeight="false" outlineLevel="0" collapsed="false">
      <c r="A42" s="5" t="n">
        <v>41</v>
      </c>
      <c r="B42" s="5" t="s">
        <v>956</v>
      </c>
      <c r="C42" s="11" t="s">
        <v>1347</v>
      </c>
      <c r="D42" s="11" t="s">
        <v>1348</v>
      </c>
      <c r="E42" s="11" t="s">
        <v>1349</v>
      </c>
      <c r="F42" s="11" t="s">
        <v>1350</v>
      </c>
      <c r="G42" s="11" t="s">
        <v>1351</v>
      </c>
      <c r="H42" s="11" t="s">
        <v>1352</v>
      </c>
      <c r="I42" s="11" t="s">
        <v>622</v>
      </c>
      <c r="J42" s="5" t="s">
        <v>836</v>
      </c>
      <c r="K42" s="5"/>
      <c r="L42" s="5" t="n">
        <v>4</v>
      </c>
      <c r="M42" s="5" t="n">
        <v>2</v>
      </c>
      <c r="N42" s="5" t="s">
        <v>1109</v>
      </c>
      <c r="O42" s="5" t="s">
        <v>1109</v>
      </c>
      <c r="P42" s="5" t="s">
        <v>1109</v>
      </c>
      <c r="Q42" s="5" t="s">
        <v>1110</v>
      </c>
    </row>
    <row r="43" customFormat="false" ht="35.05" hidden="false" customHeight="false" outlineLevel="0" collapsed="false">
      <c r="A43" s="5" t="n">
        <v>42</v>
      </c>
      <c r="B43" s="5" t="s">
        <v>959</v>
      </c>
      <c r="C43" s="11" t="s">
        <v>1353</v>
      </c>
      <c r="D43" s="11" t="s">
        <v>1354</v>
      </c>
      <c r="E43" s="11" t="s">
        <v>1355</v>
      </c>
      <c r="F43" s="11" t="s">
        <v>1356</v>
      </c>
      <c r="G43" s="11" t="s">
        <v>1357</v>
      </c>
      <c r="H43" s="11" t="s">
        <v>1358</v>
      </c>
      <c r="I43" s="11" t="s">
        <v>632</v>
      </c>
      <c r="J43" s="5" t="s">
        <v>14</v>
      </c>
      <c r="K43" s="5" t="s">
        <v>1359</v>
      </c>
      <c r="L43" s="5" t="n">
        <v>2</v>
      </c>
      <c r="M43" s="5" t="n">
        <v>5</v>
      </c>
      <c r="N43" s="5" t="s">
        <v>1109</v>
      </c>
      <c r="O43" s="5" t="s">
        <v>1109</v>
      </c>
      <c r="P43" s="5" t="s">
        <v>1109</v>
      </c>
      <c r="Q43" s="5" t="s">
        <v>1110</v>
      </c>
    </row>
    <row r="44" customFormat="false" ht="35.05" hidden="false" customHeight="false" outlineLevel="0" collapsed="false">
      <c r="A44" s="5" t="n">
        <v>43</v>
      </c>
      <c r="B44" s="5" t="s">
        <v>962</v>
      </c>
      <c r="C44" s="11" t="s">
        <v>1360</v>
      </c>
      <c r="D44" s="11" t="s">
        <v>1361</v>
      </c>
      <c r="E44" s="11" t="s">
        <v>1362</v>
      </c>
      <c r="F44" s="11" t="s">
        <v>1363</v>
      </c>
      <c r="G44" s="11" t="s">
        <v>1364</v>
      </c>
      <c r="H44" s="11" t="s">
        <v>1365</v>
      </c>
      <c r="I44" s="11" t="s">
        <v>642</v>
      </c>
      <c r="J44" s="5" t="s">
        <v>15</v>
      </c>
      <c r="K44" s="5" t="s">
        <v>1366</v>
      </c>
      <c r="L44" s="5" t="n">
        <v>2</v>
      </c>
      <c r="M44" s="5" t="n">
        <v>2</v>
      </c>
      <c r="N44" s="5" t="s">
        <v>1109</v>
      </c>
      <c r="O44" s="5" t="s">
        <v>1109</v>
      </c>
      <c r="P44" s="5" t="s">
        <v>1109</v>
      </c>
      <c r="Q44" s="5" t="s">
        <v>1110</v>
      </c>
    </row>
    <row r="45" customFormat="false" ht="35.05" hidden="false" customHeight="false" outlineLevel="0" collapsed="false">
      <c r="A45" s="5" t="n">
        <v>44</v>
      </c>
      <c r="B45" s="5" t="s">
        <v>965</v>
      </c>
      <c r="C45" s="11" t="s">
        <v>1367</v>
      </c>
      <c r="D45" s="11" t="s">
        <v>1368</v>
      </c>
      <c r="E45" s="11" t="s">
        <v>1369</v>
      </c>
      <c r="F45" s="11" t="s">
        <v>1370</v>
      </c>
      <c r="G45" s="11" t="s">
        <v>1371</v>
      </c>
      <c r="H45" s="11" t="s">
        <v>1372</v>
      </c>
      <c r="I45" s="11" t="s">
        <v>652</v>
      </c>
      <c r="J45" s="5" t="s">
        <v>16</v>
      </c>
      <c r="K45" s="5" t="s">
        <v>1188</v>
      </c>
      <c r="L45" s="5" t="n">
        <v>2</v>
      </c>
      <c r="M45" s="5" t="n">
        <v>5</v>
      </c>
      <c r="N45" s="5" t="s">
        <v>1109</v>
      </c>
      <c r="O45" s="5" t="s">
        <v>1109</v>
      </c>
      <c r="P45" s="5" t="s">
        <v>1109</v>
      </c>
      <c r="Q45" s="5" t="s">
        <v>1110</v>
      </c>
    </row>
    <row r="46" customFormat="false" ht="46.25" hidden="false" customHeight="false" outlineLevel="0" collapsed="false">
      <c r="A46" s="5" t="n">
        <v>45</v>
      </c>
      <c r="B46" s="5" t="s">
        <v>968</v>
      </c>
      <c r="C46" s="11" t="s">
        <v>1373</v>
      </c>
      <c r="D46" s="11" t="s">
        <v>1374</v>
      </c>
      <c r="E46" s="11" t="s">
        <v>1375</v>
      </c>
      <c r="F46" s="11" t="s">
        <v>1376</v>
      </c>
      <c r="G46" s="11" t="s">
        <v>1377</v>
      </c>
      <c r="H46" s="11" t="s">
        <v>1378</v>
      </c>
      <c r="I46" s="11" t="s">
        <v>661</v>
      </c>
      <c r="J46" s="5" t="s">
        <v>15</v>
      </c>
      <c r="K46" s="5" t="s">
        <v>1175</v>
      </c>
      <c r="L46" s="5" t="n">
        <v>2</v>
      </c>
      <c r="M46" s="5" t="n">
        <v>5</v>
      </c>
      <c r="N46" s="5" t="s">
        <v>1109</v>
      </c>
      <c r="O46" s="5" t="s">
        <v>1109</v>
      </c>
      <c r="P46" s="5" t="s">
        <v>1109</v>
      </c>
      <c r="Q46" s="5" t="s">
        <v>1110</v>
      </c>
    </row>
    <row r="47" customFormat="false" ht="46.25" hidden="false" customHeight="false" outlineLevel="0" collapsed="false">
      <c r="A47" s="5" t="n">
        <v>46</v>
      </c>
      <c r="B47" s="5" t="s">
        <v>970</v>
      </c>
      <c r="C47" s="11" t="s">
        <v>1379</v>
      </c>
      <c r="D47" s="11" t="s">
        <v>1380</v>
      </c>
      <c r="E47" s="11" t="s">
        <v>1381</v>
      </c>
      <c r="F47" s="11" t="s">
        <v>1382</v>
      </c>
      <c r="G47" s="11" t="s">
        <v>1383</v>
      </c>
      <c r="H47" s="11" t="s">
        <v>1384</v>
      </c>
      <c r="I47" s="11" t="s">
        <v>671</v>
      </c>
      <c r="J47" s="5" t="s">
        <v>17</v>
      </c>
      <c r="K47" s="5"/>
      <c r="L47" s="5" t="n">
        <v>3</v>
      </c>
      <c r="M47" s="5" t="n">
        <v>3</v>
      </c>
      <c r="N47" s="5" t="s">
        <v>1109</v>
      </c>
      <c r="O47" s="5" t="s">
        <v>1109</v>
      </c>
      <c r="P47" s="5" t="s">
        <v>1109</v>
      </c>
      <c r="Q47" s="5" t="s">
        <v>1110</v>
      </c>
    </row>
    <row r="48" customFormat="false" ht="35.05" hidden="false" customHeight="false" outlineLevel="0" collapsed="false">
      <c r="A48" s="5" t="n">
        <v>47</v>
      </c>
      <c r="B48" s="5" t="s">
        <v>973</v>
      </c>
      <c r="C48" s="11" t="s">
        <v>1385</v>
      </c>
      <c r="D48" s="11" t="s">
        <v>1386</v>
      </c>
      <c r="E48" s="11" t="s">
        <v>1387</v>
      </c>
      <c r="F48" s="11" t="s">
        <v>1388</v>
      </c>
      <c r="G48" s="11" t="s">
        <v>1389</v>
      </c>
      <c r="H48" s="11" t="s">
        <v>1390</v>
      </c>
      <c r="I48" s="11" t="s">
        <v>681</v>
      </c>
      <c r="J48" s="5" t="s">
        <v>15</v>
      </c>
      <c r="K48" s="5" t="s">
        <v>1117</v>
      </c>
      <c r="L48" s="5" t="n">
        <v>4</v>
      </c>
      <c r="M48" s="5" t="n">
        <v>3</v>
      </c>
      <c r="N48" s="5" t="s">
        <v>1109</v>
      </c>
      <c r="O48" s="5" t="s">
        <v>1109</v>
      </c>
      <c r="P48" s="5" t="s">
        <v>1109</v>
      </c>
      <c r="Q48" s="5" t="s">
        <v>1110</v>
      </c>
    </row>
    <row r="49" customFormat="false" ht="46.25" hidden="false" customHeight="false" outlineLevel="0" collapsed="false">
      <c r="A49" s="5" t="n">
        <v>48</v>
      </c>
      <c r="B49" s="5" t="s">
        <v>976</v>
      </c>
      <c r="C49" s="11" t="s">
        <v>1391</v>
      </c>
      <c r="D49" s="11" t="s">
        <v>1392</v>
      </c>
      <c r="E49" s="11" t="s">
        <v>1393</v>
      </c>
      <c r="F49" s="11" t="s">
        <v>1394</v>
      </c>
      <c r="G49" s="11" t="s">
        <v>1395</v>
      </c>
      <c r="H49" s="11" t="s">
        <v>1396</v>
      </c>
      <c r="I49" s="11" t="s">
        <v>691</v>
      </c>
      <c r="J49" s="5" t="s">
        <v>15</v>
      </c>
      <c r="K49" s="5" t="s">
        <v>1215</v>
      </c>
      <c r="L49" s="5" t="n">
        <v>3</v>
      </c>
      <c r="M49" s="5" t="n">
        <v>5</v>
      </c>
      <c r="N49" s="5" t="s">
        <v>1109</v>
      </c>
      <c r="O49" s="5" t="s">
        <v>1109</v>
      </c>
      <c r="P49" s="5" t="s">
        <v>1109</v>
      </c>
      <c r="Q49" s="5" t="s">
        <v>1110</v>
      </c>
    </row>
    <row r="50" customFormat="false" ht="46.25" hidden="false" customHeight="false" outlineLevel="0" collapsed="false">
      <c r="A50" s="5" t="n">
        <v>49</v>
      </c>
      <c r="B50" s="5" t="s">
        <v>979</v>
      </c>
      <c r="C50" s="11" t="s">
        <v>1397</v>
      </c>
      <c r="D50" s="11" t="s">
        <v>1398</v>
      </c>
      <c r="E50" s="11" t="s">
        <v>1399</v>
      </c>
      <c r="F50" s="11" t="s">
        <v>1400</v>
      </c>
      <c r="G50" s="11" t="s">
        <v>1401</v>
      </c>
      <c r="H50" s="11" t="s">
        <v>1402</v>
      </c>
      <c r="I50" s="11" t="s">
        <v>701</v>
      </c>
      <c r="J50" s="5" t="s">
        <v>17</v>
      </c>
      <c r="K50" s="5"/>
      <c r="L50" s="5" t="n">
        <v>3</v>
      </c>
      <c r="M50" s="5" t="n">
        <v>3</v>
      </c>
      <c r="N50" s="5" t="s">
        <v>1109</v>
      </c>
      <c r="O50" s="5" t="s">
        <v>1109</v>
      </c>
      <c r="P50" s="5" t="s">
        <v>1109</v>
      </c>
      <c r="Q50" s="5" t="s">
        <v>1110</v>
      </c>
    </row>
    <row r="51" customFormat="false" ht="35.05" hidden="false" customHeight="false" outlineLevel="0" collapsed="false">
      <c r="A51" s="5" t="n">
        <v>50</v>
      </c>
      <c r="B51" s="5" t="s">
        <v>981</v>
      </c>
      <c r="C51" s="11" t="s">
        <v>1403</v>
      </c>
      <c r="D51" s="11" t="s">
        <v>1404</v>
      </c>
      <c r="E51" s="11" t="s">
        <v>1405</v>
      </c>
      <c r="F51" s="11" t="s">
        <v>1406</v>
      </c>
      <c r="G51" s="11" t="s">
        <v>1407</v>
      </c>
      <c r="H51" s="11" t="s">
        <v>1408</v>
      </c>
      <c r="I51" s="11" t="s">
        <v>711</v>
      </c>
      <c r="J51" s="5" t="s">
        <v>17</v>
      </c>
      <c r="K51" s="5" t="s">
        <v>1130</v>
      </c>
      <c r="L51" s="5" t="n">
        <v>3</v>
      </c>
      <c r="M51" s="5" t="n">
        <v>3</v>
      </c>
      <c r="N51" s="5" t="s">
        <v>1109</v>
      </c>
      <c r="O51" s="5" t="s">
        <v>1109</v>
      </c>
      <c r="P51" s="5" t="s">
        <v>1109</v>
      </c>
      <c r="Q51" s="5" t="s">
        <v>1110</v>
      </c>
    </row>
    <row r="52" customFormat="false" ht="46.25" hidden="false" customHeight="false" outlineLevel="0" collapsed="false">
      <c r="A52" s="5" t="n">
        <v>51</v>
      </c>
      <c r="B52" s="5" t="s">
        <v>983</v>
      </c>
      <c r="C52" s="11" t="s">
        <v>1409</v>
      </c>
      <c r="D52" s="11" t="s">
        <v>1410</v>
      </c>
      <c r="E52" s="11" t="s">
        <v>1411</v>
      </c>
      <c r="F52" s="11" t="s">
        <v>1412</v>
      </c>
      <c r="G52" s="11" t="s">
        <v>1413</v>
      </c>
      <c r="H52" s="11" t="s">
        <v>1414</v>
      </c>
      <c r="I52" s="11" t="s">
        <v>721</v>
      </c>
      <c r="J52" s="5" t="s">
        <v>11</v>
      </c>
      <c r="K52" s="5" t="s">
        <v>1130</v>
      </c>
      <c r="L52" s="5" t="n">
        <v>3</v>
      </c>
      <c r="M52" s="5" t="n">
        <v>3</v>
      </c>
      <c r="N52" s="5" t="s">
        <v>1109</v>
      </c>
      <c r="O52" s="5" t="s">
        <v>1109</v>
      </c>
      <c r="P52" s="5" t="s">
        <v>1109</v>
      </c>
      <c r="Q52" s="5" t="s">
        <v>1110</v>
      </c>
    </row>
    <row r="53" customFormat="false" ht="46.25" hidden="false" customHeight="false" outlineLevel="0" collapsed="false">
      <c r="A53" s="5" t="n">
        <v>52</v>
      </c>
      <c r="B53" s="5" t="s">
        <v>986</v>
      </c>
      <c r="C53" s="11" t="s">
        <v>1415</v>
      </c>
      <c r="D53" s="11" t="s">
        <v>1416</v>
      </c>
      <c r="E53" s="11" t="s">
        <v>1417</v>
      </c>
      <c r="F53" s="11" t="s">
        <v>1418</v>
      </c>
      <c r="G53" s="11" t="s">
        <v>1419</v>
      </c>
      <c r="H53" s="11" t="s">
        <v>1420</v>
      </c>
      <c r="I53" s="11" t="s">
        <v>731</v>
      </c>
      <c r="J53" s="5" t="s">
        <v>15</v>
      </c>
      <c r="K53" s="5" t="s">
        <v>1215</v>
      </c>
      <c r="L53" s="5" t="n">
        <v>3</v>
      </c>
      <c r="M53" s="5" t="n">
        <v>3</v>
      </c>
      <c r="N53" s="5" t="s">
        <v>1109</v>
      </c>
      <c r="O53" s="5" t="s">
        <v>1109</v>
      </c>
      <c r="P53" s="5" t="s">
        <v>1109</v>
      </c>
      <c r="Q53" s="5" t="s">
        <v>1110</v>
      </c>
    </row>
    <row r="54" customFormat="false" ht="35.05" hidden="false" customHeight="false" outlineLevel="0" collapsed="false">
      <c r="A54" s="5" t="n">
        <v>53</v>
      </c>
      <c r="B54" s="5" t="s">
        <v>990</v>
      </c>
      <c r="C54" s="11" t="s">
        <v>1421</v>
      </c>
      <c r="D54" s="11" t="s">
        <v>1422</v>
      </c>
      <c r="E54" s="11" t="s">
        <v>1423</v>
      </c>
      <c r="F54" s="11" t="s">
        <v>1424</v>
      </c>
      <c r="G54" s="11" t="s">
        <v>1425</v>
      </c>
      <c r="H54" s="11" t="s">
        <v>1426</v>
      </c>
      <c r="I54" s="11" t="s">
        <v>742</v>
      </c>
      <c r="J54" s="5" t="s">
        <v>15</v>
      </c>
      <c r="K54" s="5" t="s">
        <v>1215</v>
      </c>
      <c r="L54" s="5" t="n">
        <v>3</v>
      </c>
      <c r="M54" s="5" t="n">
        <v>3</v>
      </c>
      <c r="N54" s="5" t="s">
        <v>1109</v>
      </c>
      <c r="O54" s="5" t="s">
        <v>1109</v>
      </c>
      <c r="P54" s="5" t="s">
        <v>1109</v>
      </c>
      <c r="Q54" s="5" t="s">
        <v>1110</v>
      </c>
    </row>
    <row r="55" customFormat="false" ht="35.05" hidden="false" customHeight="false" outlineLevel="0" collapsed="false">
      <c r="A55" s="5" t="n">
        <v>54</v>
      </c>
      <c r="B55" s="5" t="s">
        <v>993</v>
      </c>
      <c r="C55" s="11" t="s">
        <v>1427</v>
      </c>
      <c r="D55" s="11" t="s">
        <v>1428</v>
      </c>
      <c r="E55" s="11" t="s">
        <v>1429</v>
      </c>
      <c r="F55" s="11" t="s">
        <v>1430</v>
      </c>
      <c r="G55" s="11" t="s">
        <v>1431</v>
      </c>
      <c r="H55" s="11" t="s">
        <v>1432</v>
      </c>
      <c r="I55" s="11" t="s">
        <v>753</v>
      </c>
      <c r="J55" s="5" t="s">
        <v>15</v>
      </c>
      <c r="K55" s="5" t="s">
        <v>1215</v>
      </c>
      <c r="L55" s="5" t="n">
        <v>3</v>
      </c>
      <c r="M55" s="5" t="n">
        <v>3</v>
      </c>
      <c r="N55" s="5" t="s">
        <v>1109</v>
      </c>
      <c r="O55" s="5" t="s">
        <v>1109</v>
      </c>
      <c r="P55" s="5" t="s">
        <v>1109</v>
      </c>
      <c r="Q55" s="5" t="s">
        <v>1110</v>
      </c>
    </row>
    <row r="56" customFormat="false" ht="35.05" hidden="false" customHeight="false" outlineLevel="0" collapsed="false">
      <c r="A56" s="5" t="n">
        <v>55</v>
      </c>
      <c r="B56" s="5" t="s">
        <v>996</v>
      </c>
      <c r="C56" s="11" t="s">
        <v>1433</v>
      </c>
      <c r="D56" s="11" t="s">
        <v>1434</v>
      </c>
      <c r="E56" s="11" t="s">
        <v>1435</v>
      </c>
      <c r="F56" s="11" t="s">
        <v>1436</v>
      </c>
      <c r="G56" s="11" t="s">
        <v>1437</v>
      </c>
      <c r="H56" s="11" t="s">
        <v>1438</v>
      </c>
      <c r="I56" s="11" t="s">
        <v>763</v>
      </c>
      <c r="J56" s="5" t="s">
        <v>11</v>
      </c>
      <c r="K56" s="5" t="s">
        <v>1215</v>
      </c>
      <c r="L56" s="5" t="n">
        <v>3</v>
      </c>
      <c r="M56" s="5" t="n">
        <v>3</v>
      </c>
      <c r="N56" s="5" t="s">
        <v>1109</v>
      </c>
      <c r="O56" s="5" t="s">
        <v>1109</v>
      </c>
      <c r="P56" s="5" t="s">
        <v>1109</v>
      </c>
      <c r="Q56" s="5" t="s">
        <v>1110</v>
      </c>
    </row>
    <row r="57" customFormat="false" ht="382.05" hidden="false" customHeight="false" outlineLevel="0" collapsed="false">
      <c r="A57" s="5" t="n">
        <v>56</v>
      </c>
      <c r="B57" s="5" t="s">
        <v>175</v>
      </c>
      <c r="C57" s="11" t="s">
        <v>765</v>
      </c>
      <c r="D57" s="11" t="s">
        <v>766</v>
      </c>
      <c r="E57" s="11" t="s">
        <v>767</v>
      </c>
      <c r="F57" s="11" t="s">
        <v>768</v>
      </c>
      <c r="G57" s="11" t="s">
        <v>769</v>
      </c>
      <c r="H57" s="11" t="s">
        <v>770</v>
      </c>
      <c r="I57" s="11" t="s">
        <v>773</v>
      </c>
      <c r="J57" s="5" t="s">
        <v>11</v>
      </c>
      <c r="K57" s="5" t="s">
        <v>1439</v>
      </c>
      <c r="L57" s="5" t="n">
        <v>4</v>
      </c>
      <c r="M57" s="5" t="n">
        <v>3</v>
      </c>
      <c r="N57" s="5" t="s">
        <v>1109</v>
      </c>
      <c r="O57" s="5" t="s">
        <v>1109</v>
      </c>
      <c r="P57" s="5" t="s">
        <v>1109</v>
      </c>
      <c r="Q57" s="5" t="s">
        <v>1110</v>
      </c>
    </row>
    <row r="58" customFormat="false" ht="113.4" hidden="false" customHeight="false" outlineLevel="0" collapsed="false">
      <c r="A58" s="5" t="n">
        <v>57</v>
      </c>
      <c r="B58" s="5" t="s">
        <v>177</v>
      </c>
      <c r="C58" s="11" t="s">
        <v>776</v>
      </c>
      <c r="D58" s="11" t="s">
        <v>777</v>
      </c>
      <c r="E58" s="11" t="s">
        <v>778</v>
      </c>
      <c r="F58" s="11" t="s">
        <v>779</v>
      </c>
      <c r="G58" s="11" t="s">
        <v>780</v>
      </c>
      <c r="H58" s="11" t="s">
        <v>781</v>
      </c>
      <c r="I58" s="11" t="s">
        <v>784</v>
      </c>
      <c r="J58" s="5" t="s">
        <v>15</v>
      </c>
      <c r="K58" s="5" t="s">
        <v>1215</v>
      </c>
      <c r="L58" s="5" t="n">
        <v>2</v>
      </c>
      <c r="M58" s="5" t="n">
        <v>2</v>
      </c>
      <c r="N58" s="5" t="s">
        <v>1109</v>
      </c>
      <c r="O58" s="5" t="s">
        <v>1109</v>
      </c>
      <c r="P58" s="5" t="s">
        <v>1109</v>
      </c>
      <c r="Q58" s="5" t="s">
        <v>1110</v>
      </c>
    </row>
    <row r="59" customFormat="false" ht="359.7" hidden="false" customHeight="false" outlineLevel="0" collapsed="false">
      <c r="A59" s="5" t="n">
        <v>58</v>
      </c>
      <c r="B59" s="5" t="s">
        <v>179</v>
      </c>
      <c r="C59" s="11" t="s">
        <v>785</v>
      </c>
      <c r="D59" s="11" t="s">
        <v>786</v>
      </c>
      <c r="E59" s="11" t="s">
        <v>787</v>
      </c>
      <c r="F59" s="11" t="s">
        <v>788</v>
      </c>
      <c r="G59" s="11" t="s">
        <v>789</v>
      </c>
      <c r="H59" s="11" t="s">
        <v>790</v>
      </c>
      <c r="I59" s="11" t="s">
        <v>793</v>
      </c>
      <c r="J59" s="5" t="s">
        <v>10</v>
      </c>
      <c r="K59" s="5"/>
      <c r="L59" s="5" t="n">
        <v>4</v>
      </c>
      <c r="M59" s="5" t="n">
        <v>5</v>
      </c>
      <c r="N59" s="5" t="s">
        <v>1109</v>
      </c>
      <c r="O59" s="5" t="s">
        <v>1109</v>
      </c>
      <c r="P59" s="5" t="s">
        <v>1109</v>
      </c>
      <c r="Q59" s="5" t="s">
        <v>1110</v>
      </c>
    </row>
    <row r="60" customFormat="false" ht="15" hidden="false" customHeight="false" outlineLevel="0" collapsed="false">
      <c r="A60" s="1" t="n">
        <v>59</v>
      </c>
      <c r="B60" s="1" t="s">
        <v>181</v>
      </c>
      <c r="C60" s="1" t="s">
        <v>797</v>
      </c>
      <c r="D60" s="1" t="s">
        <v>798</v>
      </c>
      <c r="E60" s="1" t="s">
        <v>799</v>
      </c>
      <c r="F60" s="1" t="s">
        <v>800</v>
      </c>
      <c r="G60" s="1" t="s">
        <v>801</v>
      </c>
      <c r="H60" s="1" t="s">
        <v>802</v>
      </c>
      <c r="I60" s="1" t="s">
        <v>804</v>
      </c>
      <c r="J60" s="1" t="s">
        <v>1440</v>
      </c>
      <c r="K60" s="1" t="s">
        <v>1441</v>
      </c>
      <c r="L60" s="1" t="n">
        <v>4</v>
      </c>
      <c r="M60" s="1" t="n">
        <v>5</v>
      </c>
      <c r="N60" s="1" t="s">
        <v>1109</v>
      </c>
      <c r="O60" s="1" t="s">
        <v>1109</v>
      </c>
      <c r="P60" s="1" t="s">
        <v>1109</v>
      </c>
      <c r="Q60" s="1" t="s">
        <v>1442</v>
      </c>
    </row>
  </sheetData>
  <dataValidations count="2">
    <dataValidation allowBlank="false" errorStyle="stop" operator="between" showDropDown="false" showErrorMessage="false" showInputMessage="false" sqref="L2:L59" type="list">
      <formula1>"1,2,3,4,5"</formula1>
      <formula2>0</formula2>
    </dataValidation>
    <dataValidation allowBlank="false" errorStyle="stop" operator="between" showDropDown="false" showErrorMessage="false" showInputMessage="false" sqref="M2:M59" type="list">
      <formula1>"1,2,3,4,5,6,7,8,9"</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26" min="3" style="1" width="18"/>
  </cols>
  <sheetData>
    <row r="1" customFormat="false" ht="34" hidden="false" customHeight="true" outlineLevel="0" collapsed="false">
      <c r="A1" s="6" t="s">
        <v>805</v>
      </c>
      <c r="B1" s="5" t="s">
        <v>1012</v>
      </c>
      <c r="C1" s="5" t="s">
        <v>1443</v>
      </c>
      <c r="D1" s="5" t="s">
        <v>1444</v>
      </c>
      <c r="E1" s="5" t="s">
        <v>1445</v>
      </c>
      <c r="F1" s="5" t="s">
        <v>1446</v>
      </c>
      <c r="G1" s="5" t="s">
        <v>1447</v>
      </c>
      <c r="H1" s="5" t="s">
        <v>1448</v>
      </c>
      <c r="I1" s="5" t="s">
        <v>1449</v>
      </c>
      <c r="J1" s="5" t="s">
        <v>1450</v>
      </c>
      <c r="K1" s="5"/>
      <c r="L1" s="5"/>
      <c r="M1" s="5"/>
      <c r="N1" s="5"/>
      <c r="O1" s="5"/>
      <c r="P1" s="5"/>
      <c r="Q1" s="5"/>
      <c r="R1" s="5"/>
      <c r="S1" s="5"/>
      <c r="T1" s="5"/>
      <c r="U1" s="5"/>
      <c r="V1" s="5"/>
      <c r="W1" s="5"/>
      <c r="X1" s="5"/>
      <c r="Y1" s="5"/>
      <c r="Z1" s="5"/>
    </row>
    <row r="2" customFormat="false" ht="23.85" hidden="false" customHeight="false" outlineLevel="0" collapsed="false">
      <c r="A2" s="5" t="n">
        <v>1</v>
      </c>
      <c r="B2" s="5" t="s">
        <v>819</v>
      </c>
      <c r="C2" s="5" t="n">
        <v>1</v>
      </c>
      <c r="D2" s="5" t="n">
        <v>1</v>
      </c>
      <c r="E2" s="5" t="n">
        <v>2</v>
      </c>
      <c r="F2" s="5" t="n">
        <v>2</v>
      </c>
      <c r="G2" s="5" t="n">
        <v>0</v>
      </c>
      <c r="H2" s="5" t="n">
        <f aca="false">SUM(C2:G2)</f>
        <v>6</v>
      </c>
      <c r="I2" s="5" t="str">
        <f aca="false">IF(H2&gt;=8,"High",IF(H2&gt;=5,"Moderate","Low"))</f>
        <v>Moderate</v>
      </c>
      <c r="J2" s="5" t="s">
        <v>1451</v>
      </c>
      <c r="K2" s="5"/>
      <c r="L2" s="5"/>
      <c r="M2" s="5"/>
      <c r="N2" s="5"/>
      <c r="O2" s="5"/>
      <c r="P2" s="5"/>
      <c r="Q2" s="5"/>
      <c r="R2" s="5"/>
      <c r="S2" s="5"/>
      <c r="T2" s="5"/>
      <c r="U2" s="5"/>
      <c r="V2" s="5"/>
      <c r="W2" s="5"/>
      <c r="X2" s="5"/>
      <c r="Y2" s="5"/>
      <c r="Z2" s="5"/>
    </row>
    <row r="3" customFormat="false" ht="23.85" hidden="false" customHeight="false" outlineLevel="0" collapsed="false">
      <c r="A3" s="5" t="n">
        <v>2</v>
      </c>
      <c r="B3" s="5" t="s">
        <v>824</v>
      </c>
      <c r="C3" s="5" t="n">
        <v>1</v>
      </c>
      <c r="D3" s="5" t="n">
        <v>1</v>
      </c>
      <c r="E3" s="5" t="n">
        <v>2</v>
      </c>
      <c r="F3" s="5" t="n">
        <v>2</v>
      </c>
      <c r="G3" s="5" t="n">
        <v>0</v>
      </c>
      <c r="H3" s="5" t="n">
        <f aca="false">SUM(C3:G3)</f>
        <v>6</v>
      </c>
      <c r="I3" s="5" t="str">
        <f aca="false">IF(H3&gt;=8,"High",IF(H3&gt;=5,"Moderate","Low"))</f>
        <v>Moderate</v>
      </c>
      <c r="J3" s="5" t="s">
        <v>1451</v>
      </c>
      <c r="K3" s="5"/>
      <c r="L3" s="5"/>
      <c r="M3" s="5"/>
      <c r="N3" s="5"/>
      <c r="O3" s="5"/>
      <c r="P3" s="5"/>
      <c r="Q3" s="5"/>
      <c r="R3" s="5"/>
      <c r="S3" s="5"/>
      <c r="T3" s="5"/>
      <c r="U3" s="5"/>
      <c r="V3" s="5"/>
      <c r="W3" s="5"/>
      <c r="X3" s="5"/>
      <c r="Y3" s="5"/>
      <c r="Z3" s="5"/>
    </row>
    <row r="4" customFormat="false" ht="23.85" hidden="false" customHeight="false" outlineLevel="0" collapsed="false">
      <c r="A4" s="5" t="n">
        <v>3</v>
      </c>
      <c r="B4" s="5" t="s">
        <v>828</v>
      </c>
      <c r="C4" s="5" t="n">
        <v>1</v>
      </c>
      <c r="D4" s="5" t="n">
        <v>1</v>
      </c>
      <c r="E4" s="5" t="n">
        <v>2</v>
      </c>
      <c r="F4" s="5" t="n">
        <v>2</v>
      </c>
      <c r="G4" s="5" t="n">
        <v>0</v>
      </c>
      <c r="H4" s="5" t="n">
        <f aca="false">SUM(C4:G4)</f>
        <v>6</v>
      </c>
      <c r="I4" s="5" t="str">
        <f aca="false">IF(H4&gt;=8,"High",IF(H4&gt;=5,"Moderate","Low"))</f>
        <v>Moderate</v>
      </c>
      <c r="J4" s="5" t="s">
        <v>1451</v>
      </c>
      <c r="K4" s="5"/>
      <c r="L4" s="5"/>
      <c r="M4" s="5"/>
      <c r="N4" s="5"/>
      <c r="O4" s="5"/>
      <c r="P4" s="5"/>
      <c r="Q4" s="5"/>
      <c r="R4" s="5"/>
      <c r="S4" s="5"/>
      <c r="T4" s="5"/>
      <c r="U4" s="5"/>
      <c r="V4" s="5"/>
      <c r="W4" s="5"/>
      <c r="X4" s="5"/>
      <c r="Y4" s="5"/>
      <c r="Z4" s="5"/>
    </row>
    <row r="5" customFormat="false" ht="23.85" hidden="false" customHeight="false" outlineLevel="0" collapsed="false">
      <c r="A5" s="5" t="n">
        <v>4</v>
      </c>
      <c r="B5" s="5" t="s">
        <v>58</v>
      </c>
      <c r="C5" s="5" t="n">
        <v>1</v>
      </c>
      <c r="D5" s="5" t="n">
        <v>1</v>
      </c>
      <c r="E5" s="5" t="n">
        <v>1</v>
      </c>
      <c r="F5" s="5" t="n">
        <v>2</v>
      </c>
      <c r="G5" s="5" t="n">
        <v>0</v>
      </c>
      <c r="H5" s="5" t="n">
        <f aca="false">SUM(C5:G5)</f>
        <v>5</v>
      </c>
      <c r="I5" s="5" t="str">
        <f aca="false">IF(H5&gt;=8,"High",IF(H5&gt;=5,"Moderate","Low"))</f>
        <v>Moderate</v>
      </c>
      <c r="J5" s="5" t="s">
        <v>1451</v>
      </c>
      <c r="K5" s="5"/>
      <c r="L5" s="5"/>
      <c r="M5" s="5"/>
      <c r="N5" s="5"/>
      <c r="O5" s="5"/>
      <c r="P5" s="5"/>
      <c r="Q5" s="5"/>
      <c r="R5" s="5"/>
      <c r="S5" s="5"/>
      <c r="T5" s="5"/>
      <c r="U5" s="5"/>
      <c r="V5" s="5"/>
      <c r="W5" s="5"/>
      <c r="X5" s="5"/>
      <c r="Y5" s="5"/>
      <c r="Z5" s="5"/>
    </row>
    <row r="6" customFormat="false" ht="23.85" hidden="false" customHeight="false" outlineLevel="0" collapsed="false">
      <c r="A6" s="5" t="n">
        <v>5</v>
      </c>
      <c r="B6" s="5" t="s">
        <v>62</v>
      </c>
      <c r="C6" s="5" t="n">
        <v>1</v>
      </c>
      <c r="D6" s="5" t="n">
        <v>1</v>
      </c>
      <c r="E6" s="5" t="n">
        <v>1</v>
      </c>
      <c r="F6" s="5" t="n">
        <v>2</v>
      </c>
      <c r="G6" s="5" t="n">
        <v>0</v>
      </c>
      <c r="H6" s="5" t="n">
        <f aca="false">SUM(C6:G6)</f>
        <v>5</v>
      </c>
      <c r="I6" s="5" t="str">
        <f aca="false">IF(H6&gt;=8,"High",IF(H6&gt;=5,"Moderate","Low"))</f>
        <v>Moderate</v>
      </c>
      <c r="J6" s="5" t="s">
        <v>1451</v>
      </c>
      <c r="K6" s="5"/>
      <c r="L6" s="5"/>
      <c r="M6" s="5"/>
      <c r="N6" s="5"/>
      <c r="O6" s="5"/>
      <c r="P6" s="5"/>
      <c r="Q6" s="5"/>
      <c r="R6" s="5"/>
      <c r="S6" s="5"/>
      <c r="T6" s="5"/>
      <c r="U6" s="5"/>
      <c r="V6" s="5"/>
      <c r="W6" s="5"/>
      <c r="X6" s="5"/>
      <c r="Y6" s="5"/>
      <c r="Z6" s="5"/>
    </row>
    <row r="7" customFormat="false" ht="23.85" hidden="false" customHeight="false" outlineLevel="0" collapsed="false">
      <c r="A7" s="5" t="n">
        <v>6</v>
      </c>
      <c r="B7" s="5" t="s">
        <v>839</v>
      </c>
      <c r="C7" s="5" t="n">
        <v>1</v>
      </c>
      <c r="D7" s="5" t="n">
        <v>1</v>
      </c>
      <c r="E7" s="5" t="n">
        <v>2</v>
      </c>
      <c r="F7" s="5" t="n">
        <v>2</v>
      </c>
      <c r="G7" s="5" t="n">
        <v>0</v>
      </c>
      <c r="H7" s="5" t="n">
        <f aca="false">SUM(C7:G7)</f>
        <v>6</v>
      </c>
      <c r="I7" s="5" t="str">
        <f aca="false">IF(H7&gt;=8,"High",IF(H7&gt;=5,"Moderate","Low"))</f>
        <v>Moderate</v>
      </c>
      <c r="J7" s="5" t="s">
        <v>1451</v>
      </c>
      <c r="K7" s="5"/>
      <c r="L7" s="5"/>
      <c r="M7" s="5"/>
      <c r="N7" s="5"/>
      <c r="O7" s="5"/>
      <c r="P7" s="5"/>
      <c r="Q7" s="5"/>
      <c r="R7" s="5"/>
      <c r="S7" s="5"/>
      <c r="T7" s="5"/>
      <c r="U7" s="5"/>
      <c r="V7" s="5"/>
      <c r="W7" s="5"/>
      <c r="X7" s="5"/>
      <c r="Y7" s="5"/>
      <c r="Z7" s="5"/>
    </row>
    <row r="8" customFormat="false" ht="23.85" hidden="false" customHeight="false" outlineLevel="0" collapsed="false">
      <c r="A8" s="5" t="n">
        <v>7</v>
      </c>
      <c r="B8" s="5" t="s">
        <v>842</v>
      </c>
      <c r="C8" s="5" t="n">
        <v>1</v>
      </c>
      <c r="D8" s="5" t="n">
        <v>1</v>
      </c>
      <c r="E8" s="5" t="n">
        <v>2</v>
      </c>
      <c r="F8" s="5" t="n">
        <v>2</v>
      </c>
      <c r="G8" s="5" t="n">
        <v>0</v>
      </c>
      <c r="H8" s="5" t="n">
        <f aca="false">SUM(C8:G8)</f>
        <v>6</v>
      </c>
      <c r="I8" s="5" t="str">
        <f aca="false">IF(H8&gt;=8,"High",IF(H8&gt;=5,"Moderate","Low"))</f>
        <v>Moderate</v>
      </c>
      <c r="J8" s="5" t="s">
        <v>1451</v>
      </c>
      <c r="K8" s="5"/>
      <c r="L8" s="5"/>
      <c r="M8" s="5"/>
      <c r="N8" s="5"/>
      <c r="O8" s="5"/>
      <c r="P8" s="5"/>
      <c r="Q8" s="5"/>
      <c r="R8" s="5"/>
      <c r="S8" s="5"/>
      <c r="T8" s="5"/>
      <c r="U8" s="5"/>
      <c r="V8" s="5"/>
      <c r="W8" s="5"/>
      <c r="X8" s="5"/>
      <c r="Y8" s="5"/>
      <c r="Z8" s="5"/>
    </row>
    <row r="9" customFormat="false" ht="23.85" hidden="false" customHeight="false" outlineLevel="0" collapsed="false">
      <c r="A9" s="5" t="n">
        <v>8</v>
      </c>
      <c r="B9" s="5" t="s">
        <v>847</v>
      </c>
      <c r="C9" s="5" t="n">
        <v>1</v>
      </c>
      <c r="D9" s="5" t="n">
        <v>1</v>
      </c>
      <c r="E9" s="5" t="n">
        <v>1</v>
      </c>
      <c r="F9" s="5" t="n">
        <v>2</v>
      </c>
      <c r="G9" s="5" t="n">
        <v>0</v>
      </c>
      <c r="H9" s="5" t="n">
        <f aca="false">SUM(C9:G9)</f>
        <v>5</v>
      </c>
      <c r="I9" s="5" t="str">
        <f aca="false">IF(H9&gt;=8,"High",IF(H9&gt;=5,"Moderate","Low"))</f>
        <v>Moderate</v>
      </c>
      <c r="J9" s="5" t="s">
        <v>1451</v>
      </c>
      <c r="K9" s="5"/>
      <c r="L9" s="5"/>
      <c r="M9" s="5"/>
      <c r="N9" s="5"/>
      <c r="O9" s="5"/>
      <c r="P9" s="5"/>
      <c r="Q9" s="5"/>
      <c r="R9" s="5"/>
      <c r="S9" s="5"/>
      <c r="T9" s="5"/>
      <c r="U9" s="5"/>
      <c r="V9" s="5"/>
      <c r="W9" s="5"/>
      <c r="X9" s="5"/>
      <c r="Y9" s="5"/>
      <c r="Z9" s="5"/>
    </row>
    <row r="10" customFormat="false" ht="23.85" hidden="false" customHeight="false" outlineLevel="0" collapsed="false">
      <c r="A10" s="5" t="n">
        <v>9</v>
      </c>
      <c r="B10" s="5" t="s">
        <v>852</v>
      </c>
      <c r="C10" s="5" t="n">
        <v>1</v>
      </c>
      <c r="D10" s="5" t="n">
        <v>1</v>
      </c>
      <c r="E10" s="5" t="n">
        <v>2</v>
      </c>
      <c r="F10" s="5" t="n">
        <v>2</v>
      </c>
      <c r="G10" s="5" t="n">
        <v>0</v>
      </c>
      <c r="H10" s="5" t="n">
        <f aca="false">SUM(C10:G10)</f>
        <v>6</v>
      </c>
      <c r="I10" s="5" t="str">
        <f aca="false">IF(H10&gt;=8,"High",IF(H10&gt;=5,"Moderate","Low"))</f>
        <v>Moderate</v>
      </c>
      <c r="J10" s="5" t="s">
        <v>1451</v>
      </c>
      <c r="K10" s="5"/>
      <c r="L10" s="5"/>
      <c r="M10" s="5"/>
      <c r="N10" s="5"/>
      <c r="O10" s="5"/>
      <c r="P10" s="5"/>
      <c r="Q10" s="5"/>
      <c r="R10" s="5"/>
      <c r="S10" s="5"/>
      <c r="T10" s="5"/>
      <c r="U10" s="5"/>
      <c r="V10" s="5"/>
      <c r="W10" s="5"/>
      <c r="X10" s="5"/>
      <c r="Y10" s="5"/>
      <c r="Z10" s="5"/>
    </row>
    <row r="11" customFormat="false" ht="23.85" hidden="false" customHeight="false" outlineLevel="0" collapsed="false">
      <c r="A11" s="5" t="n">
        <v>10</v>
      </c>
      <c r="B11" s="5" t="s">
        <v>852</v>
      </c>
      <c r="C11" s="5" t="n">
        <v>1</v>
      </c>
      <c r="D11" s="5" t="n">
        <v>1</v>
      </c>
      <c r="E11" s="5" t="n">
        <v>2</v>
      </c>
      <c r="F11" s="5" t="n">
        <v>2</v>
      </c>
      <c r="G11" s="5" t="n">
        <v>0</v>
      </c>
      <c r="H11" s="5" t="n">
        <f aca="false">SUM(C11:G11)</f>
        <v>6</v>
      </c>
      <c r="I11" s="5" t="str">
        <f aca="false">IF(H11&gt;=8,"High",IF(H11&gt;=5,"Moderate","Low"))</f>
        <v>Moderate</v>
      </c>
      <c r="J11" s="5" t="s">
        <v>1451</v>
      </c>
      <c r="K11" s="5"/>
      <c r="L11" s="5"/>
      <c r="M11" s="5"/>
      <c r="N11" s="5"/>
      <c r="O11" s="5"/>
      <c r="P11" s="5"/>
      <c r="Q11" s="5"/>
      <c r="R11" s="5"/>
      <c r="S11" s="5"/>
      <c r="T11" s="5"/>
      <c r="U11" s="5"/>
      <c r="V11" s="5"/>
      <c r="W11" s="5"/>
      <c r="X11" s="5"/>
      <c r="Y11" s="5"/>
      <c r="Z11" s="5"/>
    </row>
    <row r="12" customFormat="false" ht="23.85" hidden="false" customHeight="false" outlineLevel="0" collapsed="false">
      <c r="A12" s="5" t="n">
        <v>11</v>
      </c>
      <c r="B12" s="5" t="s">
        <v>854</v>
      </c>
      <c r="C12" s="5" t="n">
        <v>1</v>
      </c>
      <c r="D12" s="5" t="n">
        <v>1</v>
      </c>
      <c r="E12" s="5" t="n">
        <v>2</v>
      </c>
      <c r="F12" s="5" t="n">
        <v>2</v>
      </c>
      <c r="G12" s="5" t="n">
        <v>0</v>
      </c>
      <c r="H12" s="5" t="n">
        <f aca="false">SUM(C12:G12)</f>
        <v>6</v>
      </c>
      <c r="I12" s="5" t="str">
        <f aca="false">IF(H12&gt;=8,"High",IF(H12&gt;=5,"Moderate","Low"))</f>
        <v>Moderate</v>
      </c>
      <c r="J12" s="5" t="s">
        <v>1451</v>
      </c>
      <c r="K12" s="5"/>
      <c r="L12" s="5"/>
      <c r="M12" s="5"/>
      <c r="N12" s="5"/>
      <c r="O12" s="5"/>
      <c r="P12" s="5"/>
      <c r="Q12" s="5"/>
      <c r="R12" s="5"/>
      <c r="S12" s="5"/>
      <c r="T12" s="5"/>
      <c r="U12" s="5"/>
      <c r="V12" s="5"/>
      <c r="W12" s="5"/>
      <c r="X12" s="5"/>
      <c r="Y12" s="5"/>
      <c r="Z12" s="5"/>
    </row>
    <row r="13" customFormat="false" ht="23.85" hidden="false" customHeight="false" outlineLevel="0" collapsed="false">
      <c r="A13" s="5" t="n">
        <v>12</v>
      </c>
      <c r="B13" s="5" t="s">
        <v>857</v>
      </c>
      <c r="C13" s="5" t="n">
        <v>1</v>
      </c>
      <c r="D13" s="5" t="n">
        <v>1</v>
      </c>
      <c r="E13" s="5" t="n">
        <v>2</v>
      </c>
      <c r="F13" s="5" t="n">
        <v>2</v>
      </c>
      <c r="G13" s="5" t="n">
        <v>0</v>
      </c>
      <c r="H13" s="5" t="n">
        <f aca="false">SUM(C13:G13)</f>
        <v>6</v>
      </c>
      <c r="I13" s="5" t="str">
        <f aca="false">IF(H13&gt;=8,"High",IF(H13&gt;=5,"Moderate","Low"))</f>
        <v>Moderate</v>
      </c>
      <c r="J13" s="5" t="s">
        <v>1451</v>
      </c>
      <c r="K13" s="5"/>
      <c r="L13" s="5"/>
      <c r="M13" s="5"/>
      <c r="N13" s="5"/>
      <c r="O13" s="5"/>
      <c r="P13" s="5"/>
      <c r="Q13" s="5"/>
      <c r="R13" s="5"/>
      <c r="S13" s="5"/>
      <c r="T13" s="5"/>
      <c r="U13" s="5"/>
      <c r="V13" s="5"/>
      <c r="W13" s="5"/>
      <c r="X13" s="5"/>
      <c r="Y13" s="5"/>
      <c r="Z13" s="5"/>
    </row>
    <row r="14" customFormat="false" ht="23.85" hidden="false" customHeight="false" outlineLevel="0" collapsed="false">
      <c r="A14" s="5" t="n">
        <v>13</v>
      </c>
      <c r="B14" s="5" t="s">
        <v>860</v>
      </c>
      <c r="C14" s="5" t="n">
        <v>1</v>
      </c>
      <c r="D14" s="5" t="n">
        <v>1</v>
      </c>
      <c r="E14" s="5" t="n">
        <v>1</v>
      </c>
      <c r="F14" s="5" t="n">
        <v>2</v>
      </c>
      <c r="G14" s="5" t="n">
        <v>0</v>
      </c>
      <c r="H14" s="5" t="n">
        <f aca="false">SUM(C14:G14)</f>
        <v>5</v>
      </c>
      <c r="I14" s="5" t="str">
        <f aca="false">IF(H14&gt;=8,"High",IF(H14&gt;=5,"Moderate","Low"))</f>
        <v>Moderate</v>
      </c>
      <c r="J14" s="5" t="s">
        <v>1451</v>
      </c>
      <c r="K14" s="5"/>
      <c r="L14" s="5"/>
      <c r="M14" s="5"/>
      <c r="N14" s="5"/>
      <c r="O14" s="5"/>
      <c r="P14" s="5"/>
      <c r="Q14" s="5"/>
      <c r="R14" s="5"/>
      <c r="S14" s="5"/>
      <c r="T14" s="5"/>
      <c r="U14" s="5"/>
      <c r="V14" s="5"/>
      <c r="W14" s="5"/>
      <c r="X14" s="5"/>
      <c r="Y14" s="5"/>
      <c r="Z14" s="5"/>
    </row>
    <row r="15" customFormat="false" ht="23.85" hidden="false" customHeight="false" outlineLevel="0" collapsed="false">
      <c r="A15" s="5" t="n">
        <v>14</v>
      </c>
      <c r="B15" s="5" t="s">
        <v>864</v>
      </c>
      <c r="C15" s="5" t="n">
        <v>1</v>
      </c>
      <c r="D15" s="5" t="n">
        <v>1</v>
      </c>
      <c r="E15" s="5" t="n">
        <v>2</v>
      </c>
      <c r="F15" s="5" t="n">
        <v>2</v>
      </c>
      <c r="G15" s="5" t="n">
        <v>0</v>
      </c>
      <c r="H15" s="5" t="n">
        <f aca="false">SUM(C15:G15)</f>
        <v>6</v>
      </c>
      <c r="I15" s="5" t="str">
        <f aca="false">IF(H15&gt;=8,"High",IF(H15&gt;=5,"Moderate","Low"))</f>
        <v>Moderate</v>
      </c>
      <c r="J15" s="5" t="s">
        <v>1451</v>
      </c>
      <c r="K15" s="5"/>
      <c r="L15" s="5"/>
      <c r="M15" s="5"/>
      <c r="N15" s="5"/>
      <c r="O15" s="5"/>
      <c r="P15" s="5"/>
      <c r="Q15" s="5"/>
      <c r="R15" s="5"/>
      <c r="S15" s="5"/>
      <c r="T15" s="5"/>
      <c r="U15" s="5"/>
      <c r="V15" s="5"/>
      <c r="W15" s="5"/>
      <c r="X15" s="5"/>
      <c r="Y15" s="5"/>
      <c r="Z15" s="5"/>
    </row>
    <row r="16" customFormat="false" ht="23.85" hidden="false" customHeight="false" outlineLevel="0" collapsed="false">
      <c r="A16" s="5" t="n">
        <v>15</v>
      </c>
      <c r="B16" s="5" t="s">
        <v>88</v>
      </c>
      <c r="C16" s="5" t="n">
        <v>1</v>
      </c>
      <c r="D16" s="5" t="n">
        <v>1</v>
      </c>
      <c r="E16" s="5" t="n">
        <v>2</v>
      </c>
      <c r="F16" s="5" t="n">
        <v>2</v>
      </c>
      <c r="G16" s="5" t="n">
        <v>0</v>
      </c>
      <c r="H16" s="5" t="n">
        <f aca="false">SUM(C16:G16)</f>
        <v>6</v>
      </c>
      <c r="I16" s="5" t="str">
        <f aca="false">IF(H16&gt;=8,"High",IF(H16&gt;=5,"Moderate","Low"))</f>
        <v>Moderate</v>
      </c>
      <c r="J16" s="5" t="s">
        <v>1451</v>
      </c>
      <c r="K16" s="5"/>
      <c r="L16" s="5"/>
      <c r="M16" s="5"/>
      <c r="N16" s="5"/>
      <c r="O16" s="5"/>
      <c r="P16" s="5"/>
      <c r="Q16" s="5"/>
      <c r="R16" s="5"/>
      <c r="S16" s="5"/>
      <c r="T16" s="5"/>
      <c r="U16" s="5"/>
      <c r="V16" s="5"/>
      <c r="W16" s="5"/>
      <c r="X16" s="5"/>
      <c r="Y16" s="5"/>
      <c r="Z16" s="5"/>
    </row>
    <row r="17" customFormat="false" ht="23.85" hidden="false" customHeight="false" outlineLevel="0" collapsed="false">
      <c r="A17" s="5" t="n">
        <v>16</v>
      </c>
      <c r="B17" s="5" t="s">
        <v>869</v>
      </c>
      <c r="C17" s="5" t="n">
        <v>1</v>
      </c>
      <c r="D17" s="5" t="n">
        <v>1</v>
      </c>
      <c r="E17" s="5" t="n">
        <v>2</v>
      </c>
      <c r="F17" s="5" t="n">
        <v>2</v>
      </c>
      <c r="G17" s="5" t="n">
        <v>2</v>
      </c>
      <c r="H17" s="5" t="n">
        <f aca="false">SUM(C17:G17)</f>
        <v>8</v>
      </c>
      <c r="I17" s="5" t="str">
        <f aca="false">IF(H17&gt;=8,"High",IF(H17&gt;=5,"Moderate","Low"))</f>
        <v>High</v>
      </c>
      <c r="J17" s="5" t="s">
        <v>1451</v>
      </c>
      <c r="K17" s="5"/>
      <c r="L17" s="5"/>
      <c r="M17" s="5"/>
      <c r="N17" s="5"/>
      <c r="O17" s="5"/>
      <c r="P17" s="5"/>
      <c r="Q17" s="5"/>
      <c r="R17" s="5"/>
      <c r="S17" s="5"/>
      <c r="T17" s="5"/>
      <c r="U17" s="5"/>
      <c r="V17" s="5"/>
      <c r="W17" s="5"/>
      <c r="X17" s="5"/>
      <c r="Y17" s="5"/>
      <c r="Z17" s="5"/>
    </row>
    <row r="18" customFormat="false" ht="23.85" hidden="false" customHeight="false" outlineLevel="0" collapsed="false">
      <c r="A18" s="5" t="n">
        <v>17</v>
      </c>
      <c r="B18" s="5" t="s">
        <v>94</v>
      </c>
      <c r="C18" s="5" t="n">
        <v>1</v>
      </c>
      <c r="D18" s="5" t="n">
        <v>1</v>
      </c>
      <c r="E18" s="5" t="n">
        <v>2</v>
      </c>
      <c r="F18" s="5" t="n">
        <v>2</v>
      </c>
      <c r="G18" s="5" t="n">
        <v>0</v>
      </c>
      <c r="H18" s="5" t="n">
        <f aca="false">SUM(C18:G18)</f>
        <v>6</v>
      </c>
      <c r="I18" s="5" t="str">
        <f aca="false">IF(H18&gt;=8,"High",IF(H18&gt;=5,"Moderate","Low"))</f>
        <v>Moderate</v>
      </c>
      <c r="J18" s="5" t="s">
        <v>1451</v>
      </c>
      <c r="K18" s="5"/>
      <c r="L18" s="5"/>
      <c r="M18" s="5"/>
      <c r="N18" s="5"/>
      <c r="O18" s="5"/>
      <c r="P18" s="5"/>
      <c r="Q18" s="5"/>
      <c r="R18" s="5"/>
      <c r="S18" s="5"/>
      <c r="T18" s="5"/>
      <c r="U18" s="5"/>
      <c r="V18" s="5"/>
      <c r="W18" s="5"/>
      <c r="X18" s="5"/>
      <c r="Y18" s="5"/>
      <c r="Z18" s="5"/>
    </row>
    <row r="19" customFormat="false" ht="23.85" hidden="false" customHeight="false" outlineLevel="0" collapsed="false">
      <c r="A19" s="5" t="n">
        <v>18</v>
      </c>
      <c r="B19" s="5" t="s">
        <v>877</v>
      </c>
      <c r="C19" s="5" t="n">
        <v>1</v>
      </c>
      <c r="D19" s="5" t="n">
        <v>1</v>
      </c>
      <c r="E19" s="5" t="n">
        <v>1</v>
      </c>
      <c r="F19" s="5" t="n">
        <v>2</v>
      </c>
      <c r="G19" s="5" t="n">
        <v>0</v>
      </c>
      <c r="H19" s="5" t="n">
        <f aca="false">SUM(C19:G19)</f>
        <v>5</v>
      </c>
      <c r="I19" s="5" t="str">
        <f aca="false">IF(H19&gt;=8,"High",IF(H19&gt;=5,"Moderate","Low"))</f>
        <v>Moderate</v>
      </c>
      <c r="J19" s="5" t="s">
        <v>1451</v>
      </c>
      <c r="K19" s="5"/>
      <c r="L19" s="5"/>
      <c r="M19" s="5"/>
      <c r="N19" s="5"/>
      <c r="O19" s="5"/>
      <c r="P19" s="5"/>
      <c r="Q19" s="5"/>
      <c r="R19" s="5"/>
      <c r="S19" s="5"/>
      <c r="T19" s="5"/>
      <c r="U19" s="5"/>
      <c r="V19" s="5"/>
      <c r="W19" s="5"/>
      <c r="X19" s="5"/>
      <c r="Y19" s="5"/>
      <c r="Z19" s="5"/>
    </row>
    <row r="20" customFormat="false" ht="23.85" hidden="false" customHeight="false" outlineLevel="0" collapsed="false">
      <c r="A20" s="5" t="n">
        <v>19</v>
      </c>
      <c r="B20" s="5" t="s">
        <v>882</v>
      </c>
      <c r="C20" s="5" t="n">
        <v>1</v>
      </c>
      <c r="D20" s="5" t="n">
        <v>1</v>
      </c>
      <c r="E20" s="5" t="n">
        <v>2</v>
      </c>
      <c r="F20" s="5" t="n">
        <v>2</v>
      </c>
      <c r="G20" s="5" t="n">
        <v>0</v>
      </c>
      <c r="H20" s="5" t="n">
        <f aca="false">SUM(C20:G20)</f>
        <v>6</v>
      </c>
      <c r="I20" s="5" t="str">
        <f aca="false">IF(H20&gt;=8,"High",IF(H20&gt;=5,"Moderate","Low"))</f>
        <v>Moderate</v>
      </c>
      <c r="J20" s="5" t="s">
        <v>1451</v>
      </c>
      <c r="K20" s="5"/>
      <c r="L20" s="5"/>
      <c r="M20" s="5"/>
      <c r="N20" s="5"/>
      <c r="O20" s="5"/>
      <c r="P20" s="5"/>
      <c r="Q20" s="5"/>
      <c r="R20" s="5"/>
      <c r="S20" s="5"/>
      <c r="T20" s="5"/>
      <c r="U20" s="5"/>
      <c r="V20" s="5"/>
      <c r="W20" s="5"/>
      <c r="X20" s="5"/>
      <c r="Y20" s="5"/>
      <c r="Z20" s="5"/>
    </row>
    <row r="21" customFormat="false" ht="23.85" hidden="false" customHeight="false" outlineLevel="0" collapsed="false">
      <c r="A21" s="5" t="n">
        <v>20</v>
      </c>
      <c r="B21" s="5" t="s">
        <v>885</v>
      </c>
      <c r="C21" s="5" t="n">
        <v>1</v>
      </c>
      <c r="D21" s="5" t="n">
        <v>1</v>
      </c>
      <c r="E21" s="5" t="n">
        <v>2</v>
      </c>
      <c r="F21" s="5" t="n">
        <v>2</v>
      </c>
      <c r="G21" s="5" t="n">
        <v>1</v>
      </c>
      <c r="H21" s="5" t="n">
        <f aca="false">SUM(C21:G21)</f>
        <v>7</v>
      </c>
      <c r="I21" s="5" t="str">
        <f aca="false">IF(H21&gt;=8,"High",IF(H21&gt;=5,"Moderate","Low"))</f>
        <v>Moderate</v>
      </c>
      <c r="J21" s="5" t="s">
        <v>1451</v>
      </c>
      <c r="K21" s="5"/>
      <c r="L21" s="5"/>
      <c r="M21" s="5"/>
      <c r="N21" s="5"/>
      <c r="O21" s="5"/>
      <c r="P21" s="5"/>
      <c r="Q21" s="5"/>
      <c r="R21" s="5"/>
      <c r="S21" s="5"/>
      <c r="T21" s="5"/>
      <c r="U21" s="5"/>
      <c r="V21" s="5"/>
      <c r="W21" s="5"/>
      <c r="X21" s="5"/>
      <c r="Y21" s="5"/>
      <c r="Z21" s="5"/>
    </row>
    <row r="22" customFormat="false" ht="23.85" hidden="false" customHeight="false" outlineLevel="0" collapsed="false">
      <c r="A22" s="5" t="n">
        <v>21</v>
      </c>
      <c r="B22" s="5" t="s">
        <v>102</v>
      </c>
      <c r="C22" s="5" t="n">
        <v>1</v>
      </c>
      <c r="D22" s="5" t="n">
        <v>1</v>
      </c>
      <c r="E22" s="5" t="n">
        <v>2</v>
      </c>
      <c r="F22" s="5" t="n">
        <v>2</v>
      </c>
      <c r="G22" s="5" t="n">
        <v>0</v>
      </c>
      <c r="H22" s="5" t="n">
        <f aca="false">SUM(C22:G22)</f>
        <v>6</v>
      </c>
      <c r="I22" s="5" t="str">
        <f aca="false">IF(H22&gt;=8,"High",IF(H22&gt;=5,"Moderate","Low"))</f>
        <v>Moderate</v>
      </c>
      <c r="J22" s="5" t="s">
        <v>1451</v>
      </c>
      <c r="K22" s="5"/>
      <c r="L22" s="5"/>
      <c r="M22" s="5"/>
      <c r="N22" s="5"/>
      <c r="O22" s="5"/>
      <c r="P22" s="5"/>
      <c r="Q22" s="5"/>
      <c r="R22" s="5"/>
      <c r="S22" s="5"/>
      <c r="T22" s="5"/>
      <c r="U22" s="5"/>
      <c r="V22" s="5"/>
      <c r="W22" s="5"/>
      <c r="X22" s="5"/>
      <c r="Y22" s="5"/>
      <c r="Z22" s="5"/>
    </row>
    <row r="23" customFormat="false" ht="23.85" hidden="false" customHeight="false" outlineLevel="0" collapsed="false">
      <c r="A23" s="5" t="n">
        <v>22</v>
      </c>
      <c r="B23" s="5" t="s">
        <v>892</v>
      </c>
      <c r="C23" s="5" t="n">
        <v>1</v>
      </c>
      <c r="D23" s="5" t="n">
        <v>1</v>
      </c>
      <c r="E23" s="5" t="n">
        <v>2</v>
      </c>
      <c r="F23" s="5" t="n">
        <v>2</v>
      </c>
      <c r="G23" s="5" t="n">
        <v>0</v>
      </c>
      <c r="H23" s="5" t="n">
        <f aca="false">SUM(C23:G23)</f>
        <v>6</v>
      </c>
      <c r="I23" s="5" t="str">
        <f aca="false">IF(H23&gt;=8,"High",IF(H23&gt;=5,"Moderate","Low"))</f>
        <v>Moderate</v>
      </c>
      <c r="J23" s="5" t="s">
        <v>1451</v>
      </c>
      <c r="K23" s="5"/>
      <c r="L23" s="5"/>
      <c r="M23" s="5"/>
      <c r="N23" s="5"/>
      <c r="O23" s="5"/>
      <c r="P23" s="5"/>
      <c r="Q23" s="5"/>
      <c r="R23" s="5"/>
      <c r="S23" s="5"/>
      <c r="T23" s="5"/>
      <c r="U23" s="5"/>
      <c r="V23" s="5"/>
      <c r="W23" s="5"/>
      <c r="X23" s="5"/>
      <c r="Y23" s="5"/>
      <c r="Z23" s="5"/>
    </row>
    <row r="24" customFormat="false" ht="23.85" hidden="false" customHeight="false" outlineLevel="0" collapsed="false">
      <c r="A24" s="5" t="n">
        <v>23</v>
      </c>
      <c r="B24" s="5" t="s">
        <v>896</v>
      </c>
      <c r="C24" s="5" t="n">
        <v>1</v>
      </c>
      <c r="D24" s="5" t="n">
        <v>1</v>
      </c>
      <c r="E24" s="5" t="n">
        <v>2</v>
      </c>
      <c r="F24" s="5" t="n">
        <v>2</v>
      </c>
      <c r="G24" s="5" t="n">
        <v>0</v>
      </c>
      <c r="H24" s="5" t="n">
        <f aca="false">SUM(C24:G24)</f>
        <v>6</v>
      </c>
      <c r="I24" s="5" t="str">
        <f aca="false">IF(H24&gt;=8,"High",IF(H24&gt;=5,"Moderate","Low"))</f>
        <v>Moderate</v>
      </c>
      <c r="J24" s="5" t="s">
        <v>1451</v>
      </c>
      <c r="K24" s="5"/>
      <c r="L24" s="5"/>
      <c r="M24" s="5"/>
      <c r="N24" s="5"/>
      <c r="O24" s="5"/>
      <c r="P24" s="5"/>
      <c r="Q24" s="5"/>
      <c r="R24" s="5"/>
      <c r="S24" s="5"/>
      <c r="T24" s="5"/>
      <c r="U24" s="5"/>
      <c r="V24" s="5"/>
      <c r="W24" s="5"/>
      <c r="X24" s="5"/>
      <c r="Y24" s="5"/>
      <c r="Z24" s="5"/>
    </row>
    <row r="25" customFormat="false" ht="23.85" hidden="false" customHeight="false" outlineLevel="0" collapsed="false">
      <c r="A25" s="5" t="n">
        <v>24</v>
      </c>
      <c r="B25" s="5" t="s">
        <v>899</v>
      </c>
      <c r="C25" s="5" t="n">
        <v>1</v>
      </c>
      <c r="D25" s="5" t="n">
        <v>1</v>
      </c>
      <c r="E25" s="5" t="n">
        <v>1</v>
      </c>
      <c r="F25" s="5" t="n">
        <v>2</v>
      </c>
      <c r="G25" s="5" t="n">
        <v>0</v>
      </c>
      <c r="H25" s="5" t="n">
        <f aca="false">SUM(C25:G25)</f>
        <v>5</v>
      </c>
      <c r="I25" s="5" t="str">
        <f aca="false">IF(H25&gt;=8,"High",IF(H25&gt;=5,"Moderate","Low"))</f>
        <v>Moderate</v>
      </c>
      <c r="J25" s="5" t="s">
        <v>1451</v>
      </c>
      <c r="K25" s="5"/>
      <c r="L25" s="5"/>
      <c r="M25" s="5"/>
      <c r="N25" s="5"/>
      <c r="O25" s="5"/>
      <c r="P25" s="5"/>
      <c r="Q25" s="5"/>
      <c r="R25" s="5"/>
      <c r="S25" s="5"/>
      <c r="T25" s="5"/>
      <c r="U25" s="5"/>
      <c r="V25" s="5"/>
      <c r="W25" s="5"/>
      <c r="X25" s="5"/>
      <c r="Y25" s="5"/>
      <c r="Z25" s="5"/>
    </row>
    <row r="26" customFormat="false" ht="23.85" hidden="false" customHeight="false" outlineLevel="0" collapsed="false">
      <c r="A26" s="5" t="n">
        <v>25</v>
      </c>
      <c r="B26" s="5" t="s">
        <v>902</v>
      </c>
      <c r="C26" s="5" t="n">
        <v>1</v>
      </c>
      <c r="D26" s="5" t="n">
        <v>1</v>
      </c>
      <c r="E26" s="5" t="n">
        <v>1</v>
      </c>
      <c r="F26" s="5" t="n">
        <v>2</v>
      </c>
      <c r="G26" s="5" t="n">
        <v>0</v>
      </c>
      <c r="H26" s="5" t="n">
        <f aca="false">SUM(C26:G26)</f>
        <v>5</v>
      </c>
      <c r="I26" s="5" t="str">
        <f aca="false">IF(H26&gt;=8,"High",IF(H26&gt;=5,"Moderate","Low"))</f>
        <v>Moderate</v>
      </c>
      <c r="J26" s="5" t="s">
        <v>1451</v>
      </c>
      <c r="K26" s="5"/>
      <c r="L26" s="5"/>
      <c r="M26" s="5"/>
      <c r="N26" s="5"/>
      <c r="O26" s="5"/>
      <c r="P26" s="5"/>
      <c r="Q26" s="5"/>
      <c r="R26" s="5"/>
      <c r="S26" s="5"/>
      <c r="T26" s="5"/>
      <c r="U26" s="5"/>
      <c r="V26" s="5"/>
      <c r="W26" s="5"/>
      <c r="X26" s="5"/>
      <c r="Y26" s="5"/>
      <c r="Z26" s="5"/>
    </row>
    <row r="27" customFormat="false" ht="23.85" hidden="false" customHeight="false" outlineLevel="0" collapsed="false">
      <c r="A27" s="5" t="n">
        <v>26</v>
      </c>
      <c r="B27" s="5" t="s">
        <v>906</v>
      </c>
      <c r="C27" s="5" t="n">
        <v>1</v>
      </c>
      <c r="D27" s="5" t="n">
        <v>1</v>
      </c>
      <c r="E27" s="5" t="n">
        <v>2</v>
      </c>
      <c r="F27" s="5" t="n">
        <v>2</v>
      </c>
      <c r="G27" s="5" t="n">
        <v>0</v>
      </c>
      <c r="H27" s="5" t="n">
        <f aca="false">SUM(C27:G27)</f>
        <v>6</v>
      </c>
      <c r="I27" s="5" t="str">
        <f aca="false">IF(H27&gt;=8,"High",IF(H27&gt;=5,"Moderate","Low"))</f>
        <v>Moderate</v>
      </c>
      <c r="J27" s="5" t="s">
        <v>1451</v>
      </c>
      <c r="K27" s="5"/>
      <c r="L27" s="5"/>
      <c r="M27" s="5"/>
      <c r="N27" s="5"/>
      <c r="O27" s="5"/>
      <c r="P27" s="5"/>
      <c r="Q27" s="5"/>
      <c r="R27" s="5"/>
      <c r="S27" s="5"/>
      <c r="T27" s="5"/>
      <c r="U27" s="5"/>
      <c r="V27" s="5"/>
      <c r="W27" s="5"/>
      <c r="X27" s="5"/>
      <c r="Y27" s="5"/>
      <c r="Z27" s="5"/>
    </row>
    <row r="28" customFormat="false" ht="23.85" hidden="false" customHeight="false" outlineLevel="0" collapsed="false">
      <c r="A28" s="5" t="n">
        <v>27</v>
      </c>
      <c r="B28" s="5" t="s">
        <v>115</v>
      </c>
      <c r="C28" s="5" t="n">
        <v>1</v>
      </c>
      <c r="D28" s="5" t="n">
        <v>1</v>
      </c>
      <c r="E28" s="5" t="n">
        <v>2</v>
      </c>
      <c r="F28" s="5" t="n">
        <v>2</v>
      </c>
      <c r="G28" s="5" t="n">
        <v>0</v>
      </c>
      <c r="H28" s="5" t="n">
        <f aca="false">SUM(C28:G28)</f>
        <v>6</v>
      </c>
      <c r="I28" s="5" t="str">
        <f aca="false">IF(H28&gt;=8,"High",IF(H28&gt;=5,"Moderate","Low"))</f>
        <v>Moderate</v>
      </c>
      <c r="J28" s="5" t="s">
        <v>1451</v>
      </c>
      <c r="K28" s="5"/>
      <c r="L28" s="5"/>
      <c r="M28" s="5"/>
      <c r="N28" s="5"/>
      <c r="O28" s="5"/>
      <c r="P28" s="5"/>
      <c r="Q28" s="5"/>
      <c r="R28" s="5"/>
      <c r="S28" s="5"/>
      <c r="T28" s="5"/>
      <c r="U28" s="5"/>
      <c r="V28" s="5"/>
      <c r="W28" s="5"/>
      <c r="X28" s="5"/>
      <c r="Y28" s="5"/>
      <c r="Z28" s="5"/>
    </row>
    <row r="29" customFormat="false" ht="23.85" hidden="false" customHeight="false" outlineLevel="0" collapsed="false">
      <c r="A29" s="5" t="n">
        <v>28</v>
      </c>
      <c r="B29" s="5" t="s">
        <v>914</v>
      </c>
      <c r="C29" s="5" t="n">
        <v>1</v>
      </c>
      <c r="D29" s="5" t="n">
        <v>1</v>
      </c>
      <c r="E29" s="5" t="n">
        <v>2</v>
      </c>
      <c r="F29" s="5" t="n">
        <v>2</v>
      </c>
      <c r="G29" s="5" t="n">
        <v>2</v>
      </c>
      <c r="H29" s="5" t="n">
        <f aca="false">SUM(C29:G29)</f>
        <v>8</v>
      </c>
      <c r="I29" s="5" t="str">
        <f aca="false">IF(H29&gt;=8,"High",IF(H29&gt;=5,"Moderate","Low"))</f>
        <v>High</v>
      </c>
      <c r="J29" s="5" t="s">
        <v>1451</v>
      </c>
      <c r="K29" s="5"/>
      <c r="L29" s="5"/>
      <c r="M29" s="5"/>
      <c r="N29" s="5"/>
      <c r="O29" s="5"/>
      <c r="P29" s="5"/>
      <c r="Q29" s="5"/>
      <c r="R29" s="5"/>
      <c r="S29" s="5"/>
      <c r="T29" s="5"/>
      <c r="U29" s="5"/>
      <c r="V29" s="5"/>
      <c r="W29" s="5"/>
      <c r="X29" s="5"/>
      <c r="Y29" s="5"/>
      <c r="Z29" s="5"/>
    </row>
    <row r="30" customFormat="false" ht="23.85" hidden="false" customHeight="false" outlineLevel="0" collapsed="false">
      <c r="A30" s="5" t="n">
        <v>29</v>
      </c>
      <c r="B30" s="5" t="s">
        <v>917</v>
      </c>
      <c r="C30" s="5" t="n">
        <v>1</v>
      </c>
      <c r="D30" s="5" t="n">
        <v>1</v>
      </c>
      <c r="E30" s="5" t="n">
        <v>2</v>
      </c>
      <c r="F30" s="5" t="n">
        <v>2</v>
      </c>
      <c r="G30" s="5" t="n">
        <v>0</v>
      </c>
      <c r="H30" s="5" t="n">
        <f aca="false">SUM(C30:G30)</f>
        <v>6</v>
      </c>
      <c r="I30" s="5" t="str">
        <f aca="false">IF(H30&gt;=8,"High",IF(H30&gt;=5,"Moderate","Low"))</f>
        <v>Moderate</v>
      </c>
      <c r="J30" s="5" t="s">
        <v>1451</v>
      </c>
      <c r="K30" s="5"/>
      <c r="L30" s="5"/>
      <c r="M30" s="5"/>
      <c r="N30" s="5"/>
      <c r="O30" s="5"/>
      <c r="P30" s="5"/>
      <c r="Q30" s="5"/>
      <c r="R30" s="5"/>
      <c r="S30" s="5"/>
      <c r="T30" s="5"/>
      <c r="U30" s="5"/>
      <c r="V30" s="5"/>
      <c r="W30" s="5"/>
      <c r="X30" s="5"/>
      <c r="Y30" s="5"/>
      <c r="Z30" s="5"/>
    </row>
    <row r="31" customFormat="false" ht="23.85" hidden="false" customHeight="false" outlineLevel="0" collapsed="false">
      <c r="A31" s="5" t="n">
        <v>30</v>
      </c>
      <c r="B31" s="5" t="s">
        <v>921</v>
      </c>
      <c r="C31" s="5" t="n">
        <v>1</v>
      </c>
      <c r="D31" s="5" t="n">
        <v>1</v>
      </c>
      <c r="E31" s="5" t="n">
        <v>2</v>
      </c>
      <c r="F31" s="5" t="n">
        <v>2</v>
      </c>
      <c r="G31" s="5" t="n">
        <v>0</v>
      </c>
      <c r="H31" s="5" t="n">
        <f aca="false">SUM(C31:G31)</f>
        <v>6</v>
      </c>
      <c r="I31" s="5" t="str">
        <f aca="false">IF(H31&gt;=8,"High",IF(H31&gt;=5,"Moderate","Low"))</f>
        <v>Moderate</v>
      </c>
      <c r="J31" s="5" t="s">
        <v>1451</v>
      </c>
      <c r="K31" s="5"/>
      <c r="L31" s="5"/>
      <c r="M31" s="5"/>
      <c r="N31" s="5"/>
      <c r="O31" s="5"/>
      <c r="P31" s="5"/>
      <c r="Q31" s="5"/>
      <c r="R31" s="5"/>
      <c r="S31" s="5"/>
      <c r="T31" s="5"/>
      <c r="U31" s="5"/>
      <c r="V31" s="5"/>
      <c r="W31" s="5"/>
      <c r="X31" s="5"/>
      <c r="Y31" s="5"/>
      <c r="Z31" s="5"/>
    </row>
    <row r="32" customFormat="false" ht="23.85" hidden="false" customHeight="false" outlineLevel="0" collapsed="false">
      <c r="A32" s="5" t="n">
        <v>31</v>
      </c>
      <c r="B32" s="5" t="s">
        <v>924</v>
      </c>
      <c r="C32" s="5" t="n">
        <v>1</v>
      </c>
      <c r="D32" s="5" t="n">
        <v>1</v>
      </c>
      <c r="E32" s="5" t="n">
        <v>2</v>
      </c>
      <c r="F32" s="5" t="n">
        <v>2</v>
      </c>
      <c r="G32" s="5" t="n">
        <v>0</v>
      </c>
      <c r="H32" s="5" t="n">
        <f aca="false">SUM(C32:G32)</f>
        <v>6</v>
      </c>
      <c r="I32" s="5" t="str">
        <f aca="false">IF(H32&gt;=8,"High",IF(H32&gt;=5,"Moderate","Low"))</f>
        <v>Moderate</v>
      </c>
      <c r="J32" s="5" t="s">
        <v>1451</v>
      </c>
      <c r="K32" s="5"/>
      <c r="L32" s="5"/>
      <c r="M32" s="5"/>
      <c r="N32" s="5"/>
      <c r="O32" s="5"/>
      <c r="P32" s="5"/>
      <c r="Q32" s="5"/>
      <c r="R32" s="5"/>
      <c r="S32" s="5"/>
      <c r="T32" s="5"/>
      <c r="U32" s="5"/>
      <c r="V32" s="5"/>
      <c r="W32" s="5"/>
      <c r="X32" s="5"/>
      <c r="Y32" s="5"/>
      <c r="Z32" s="5"/>
    </row>
    <row r="33" customFormat="false" ht="23.85" hidden="false" customHeight="false" outlineLevel="0" collapsed="false">
      <c r="A33" s="5" t="n">
        <v>32</v>
      </c>
      <c r="B33" s="5" t="s">
        <v>928</v>
      </c>
      <c r="C33" s="5" t="n">
        <v>1</v>
      </c>
      <c r="D33" s="5" t="n">
        <v>1</v>
      </c>
      <c r="E33" s="5" t="n">
        <v>1</v>
      </c>
      <c r="F33" s="5" t="n">
        <v>2</v>
      </c>
      <c r="G33" s="5" t="n">
        <v>0</v>
      </c>
      <c r="H33" s="5" t="n">
        <f aca="false">SUM(C33:G33)</f>
        <v>5</v>
      </c>
      <c r="I33" s="5" t="str">
        <f aca="false">IF(H33&gt;=8,"High",IF(H33&gt;=5,"Moderate","Low"))</f>
        <v>Moderate</v>
      </c>
      <c r="J33" s="5" t="s">
        <v>1451</v>
      </c>
      <c r="K33" s="5"/>
      <c r="L33" s="5"/>
      <c r="M33" s="5"/>
      <c r="N33" s="5"/>
      <c r="O33" s="5"/>
      <c r="P33" s="5"/>
      <c r="Q33" s="5"/>
      <c r="R33" s="5"/>
      <c r="S33" s="5"/>
      <c r="T33" s="5"/>
      <c r="U33" s="5"/>
      <c r="V33" s="5"/>
      <c r="W33" s="5"/>
      <c r="X33" s="5"/>
      <c r="Y33" s="5"/>
      <c r="Z33" s="5"/>
    </row>
    <row r="34" customFormat="false" ht="23.85" hidden="false" customHeight="false" outlineLevel="0" collapsed="false">
      <c r="A34" s="5" t="n">
        <v>33</v>
      </c>
      <c r="B34" s="5" t="s">
        <v>932</v>
      </c>
      <c r="C34" s="5" t="n">
        <v>1</v>
      </c>
      <c r="D34" s="5" t="n">
        <v>1</v>
      </c>
      <c r="E34" s="5" t="n">
        <v>1</v>
      </c>
      <c r="F34" s="5" t="n">
        <v>2</v>
      </c>
      <c r="G34" s="5" t="n">
        <v>0</v>
      </c>
      <c r="H34" s="5" t="n">
        <f aca="false">SUM(C34:G34)</f>
        <v>5</v>
      </c>
      <c r="I34" s="5" t="str">
        <f aca="false">IF(H34&gt;=8,"High",IF(H34&gt;=5,"Moderate","Low"))</f>
        <v>Moderate</v>
      </c>
      <c r="J34" s="5" t="s">
        <v>1451</v>
      </c>
      <c r="K34" s="5"/>
      <c r="L34" s="5"/>
      <c r="M34" s="5"/>
      <c r="N34" s="5"/>
      <c r="O34" s="5"/>
      <c r="P34" s="5"/>
      <c r="Q34" s="5"/>
      <c r="R34" s="5"/>
      <c r="S34" s="5"/>
      <c r="T34" s="5"/>
      <c r="U34" s="5"/>
      <c r="V34" s="5"/>
      <c r="W34" s="5"/>
      <c r="X34" s="5"/>
      <c r="Y34" s="5"/>
      <c r="Z34" s="5"/>
    </row>
    <row r="35" customFormat="false" ht="23.85" hidden="false" customHeight="false" outlineLevel="0" collapsed="false">
      <c r="A35" s="5" t="n">
        <v>34</v>
      </c>
      <c r="B35" s="5" t="s">
        <v>935</v>
      </c>
      <c r="C35" s="5" t="n">
        <v>1</v>
      </c>
      <c r="D35" s="5" t="n">
        <v>1</v>
      </c>
      <c r="E35" s="5" t="n">
        <v>2</v>
      </c>
      <c r="F35" s="5" t="n">
        <v>2</v>
      </c>
      <c r="G35" s="5" t="n">
        <v>0</v>
      </c>
      <c r="H35" s="5" t="n">
        <f aca="false">SUM(C35:G35)</f>
        <v>6</v>
      </c>
      <c r="I35" s="5" t="str">
        <f aca="false">IF(H35&gt;=8,"High",IF(H35&gt;=5,"Moderate","Low"))</f>
        <v>Moderate</v>
      </c>
      <c r="J35" s="5" t="s">
        <v>1451</v>
      </c>
      <c r="K35" s="5"/>
      <c r="L35" s="5"/>
      <c r="M35" s="5"/>
      <c r="N35" s="5"/>
      <c r="O35" s="5"/>
      <c r="P35" s="5"/>
      <c r="Q35" s="5"/>
      <c r="R35" s="5"/>
      <c r="S35" s="5"/>
      <c r="T35" s="5"/>
      <c r="U35" s="5"/>
      <c r="V35" s="5"/>
      <c r="W35" s="5"/>
      <c r="X35" s="5"/>
      <c r="Y35" s="5"/>
      <c r="Z35" s="5"/>
    </row>
    <row r="36" customFormat="false" ht="23.85" hidden="false" customHeight="false" outlineLevel="0" collapsed="false">
      <c r="A36" s="5" t="n">
        <v>35</v>
      </c>
      <c r="B36" s="5" t="s">
        <v>132</v>
      </c>
      <c r="C36" s="5" t="n">
        <v>1</v>
      </c>
      <c r="D36" s="5" t="n">
        <v>1</v>
      </c>
      <c r="E36" s="5" t="n">
        <v>2</v>
      </c>
      <c r="F36" s="5" t="n">
        <v>2</v>
      </c>
      <c r="G36" s="5" t="n">
        <v>0</v>
      </c>
      <c r="H36" s="5" t="n">
        <f aca="false">SUM(C36:G36)</f>
        <v>6</v>
      </c>
      <c r="I36" s="5" t="str">
        <f aca="false">IF(H36&gt;=8,"High",IF(H36&gt;=5,"Moderate","Low"))</f>
        <v>Moderate</v>
      </c>
      <c r="J36" s="5" t="s">
        <v>1451</v>
      </c>
      <c r="K36" s="5"/>
      <c r="L36" s="5"/>
      <c r="M36" s="5"/>
      <c r="N36" s="5"/>
      <c r="O36" s="5"/>
      <c r="P36" s="5"/>
      <c r="Q36" s="5"/>
      <c r="R36" s="5"/>
      <c r="S36" s="5"/>
      <c r="T36" s="5"/>
      <c r="U36" s="5"/>
      <c r="V36" s="5"/>
      <c r="W36" s="5"/>
      <c r="X36" s="5"/>
      <c r="Y36" s="5"/>
      <c r="Z36" s="5"/>
    </row>
    <row r="37" customFormat="false" ht="23.85" hidden="false" customHeight="false" outlineLevel="0" collapsed="false">
      <c r="A37" s="5" t="n">
        <v>36</v>
      </c>
      <c r="B37" s="5" t="s">
        <v>134</v>
      </c>
      <c r="C37" s="5" t="n">
        <v>1</v>
      </c>
      <c r="D37" s="5" t="n">
        <v>1</v>
      </c>
      <c r="E37" s="5" t="n">
        <v>2</v>
      </c>
      <c r="F37" s="5" t="n">
        <v>2</v>
      </c>
      <c r="G37" s="5" t="n">
        <v>0</v>
      </c>
      <c r="H37" s="5" t="n">
        <f aca="false">SUM(C37:G37)</f>
        <v>6</v>
      </c>
      <c r="I37" s="5" t="str">
        <f aca="false">IF(H37&gt;=8,"High",IF(H37&gt;=5,"Moderate","Low"))</f>
        <v>Moderate</v>
      </c>
      <c r="J37" s="5" t="s">
        <v>1451</v>
      </c>
      <c r="K37" s="5"/>
      <c r="L37" s="5"/>
      <c r="M37" s="5"/>
      <c r="N37" s="5"/>
      <c r="O37" s="5"/>
      <c r="P37" s="5"/>
      <c r="Q37" s="5"/>
      <c r="R37" s="5"/>
      <c r="S37" s="5"/>
      <c r="T37" s="5"/>
      <c r="U37" s="5"/>
      <c r="V37" s="5"/>
      <c r="W37" s="5"/>
      <c r="X37" s="5"/>
      <c r="Y37" s="5"/>
      <c r="Z37" s="5"/>
    </row>
    <row r="38" customFormat="false" ht="23.85" hidden="false" customHeight="false" outlineLevel="0" collapsed="false">
      <c r="A38" s="5" t="n">
        <v>37</v>
      </c>
      <c r="B38" s="5" t="s">
        <v>944</v>
      </c>
      <c r="C38" s="5" t="n">
        <v>1</v>
      </c>
      <c r="D38" s="5" t="n">
        <v>1</v>
      </c>
      <c r="E38" s="5" t="n">
        <v>2</v>
      </c>
      <c r="F38" s="5" t="n">
        <v>2</v>
      </c>
      <c r="G38" s="5" t="n">
        <v>0</v>
      </c>
      <c r="H38" s="5" t="n">
        <f aca="false">SUM(C38:G38)</f>
        <v>6</v>
      </c>
      <c r="I38" s="5" t="str">
        <f aca="false">IF(H38&gt;=8,"High",IF(H38&gt;=5,"Moderate","Low"))</f>
        <v>Moderate</v>
      </c>
      <c r="J38" s="5" t="s">
        <v>1451</v>
      </c>
      <c r="K38" s="5"/>
      <c r="L38" s="5"/>
      <c r="M38" s="5"/>
      <c r="N38" s="5"/>
      <c r="O38" s="5"/>
      <c r="P38" s="5"/>
      <c r="Q38" s="5"/>
      <c r="R38" s="5"/>
      <c r="S38" s="5"/>
      <c r="T38" s="5"/>
      <c r="U38" s="5"/>
      <c r="V38" s="5"/>
      <c r="W38" s="5"/>
      <c r="X38" s="5"/>
      <c r="Y38" s="5"/>
      <c r="Z38" s="5"/>
    </row>
    <row r="39" customFormat="false" ht="23.85" hidden="false" customHeight="false" outlineLevel="0" collapsed="false">
      <c r="A39" s="5" t="n">
        <v>38</v>
      </c>
      <c r="B39" s="5" t="s">
        <v>947</v>
      </c>
      <c r="C39" s="5" t="n">
        <v>1</v>
      </c>
      <c r="D39" s="5" t="n">
        <v>1</v>
      </c>
      <c r="E39" s="5" t="n">
        <v>1</v>
      </c>
      <c r="F39" s="5" t="n">
        <v>2</v>
      </c>
      <c r="G39" s="5" t="n">
        <v>1</v>
      </c>
      <c r="H39" s="5" t="n">
        <f aca="false">SUM(C39:G39)</f>
        <v>6</v>
      </c>
      <c r="I39" s="5" t="str">
        <f aca="false">IF(H39&gt;=8,"High",IF(H39&gt;=5,"Moderate","Low"))</f>
        <v>Moderate</v>
      </c>
      <c r="J39" s="5" t="s">
        <v>1451</v>
      </c>
      <c r="K39" s="5"/>
      <c r="L39" s="5"/>
      <c r="M39" s="5"/>
      <c r="N39" s="5"/>
      <c r="O39" s="5"/>
      <c r="P39" s="5"/>
      <c r="Q39" s="5"/>
      <c r="R39" s="5"/>
      <c r="S39" s="5"/>
      <c r="T39" s="5"/>
      <c r="U39" s="5"/>
      <c r="V39" s="5"/>
      <c r="W39" s="5"/>
      <c r="X39" s="5"/>
      <c r="Y39" s="5"/>
      <c r="Z39" s="5"/>
    </row>
    <row r="40" customFormat="false" ht="23.85" hidden="false" customHeight="false" outlineLevel="0" collapsed="false">
      <c r="A40" s="5" t="n">
        <v>39</v>
      </c>
      <c r="B40" s="5" t="s">
        <v>949</v>
      </c>
      <c r="C40" s="5" t="n">
        <v>1</v>
      </c>
      <c r="D40" s="5" t="n">
        <v>1</v>
      </c>
      <c r="E40" s="5" t="n">
        <v>2</v>
      </c>
      <c r="F40" s="5" t="n">
        <v>2</v>
      </c>
      <c r="G40" s="5" t="n">
        <v>0</v>
      </c>
      <c r="H40" s="5" t="n">
        <f aca="false">SUM(C40:G40)</f>
        <v>6</v>
      </c>
      <c r="I40" s="5" t="str">
        <f aca="false">IF(H40&gt;=8,"High",IF(H40&gt;=5,"Moderate","Low"))</f>
        <v>Moderate</v>
      </c>
      <c r="J40" s="5" t="s">
        <v>1451</v>
      </c>
      <c r="K40" s="5"/>
      <c r="L40" s="5"/>
      <c r="M40" s="5"/>
      <c r="N40" s="5"/>
      <c r="O40" s="5"/>
      <c r="P40" s="5"/>
      <c r="Q40" s="5"/>
      <c r="R40" s="5"/>
      <c r="S40" s="5"/>
      <c r="T40" s="5"/>
      <c r="U40" s="5"/>
      <c r="V40" s="5"/>
      <c r="W40" s="5"/>
      <c r="X40" s="5"/>
      <c r="Y40" s="5"/>
      <c r="Z40" s="5"/>
    </row>
    <row r="41" customFormat="false" ht="23.85" hidden="false" customHeight="false" outlineLevel="0" collapsed="false">
      <c r="A41" s="5" t="n">
        <v>40</v>
      </c>
      <c r="B41" s="5" t="s">
        <v>952</v>
      </c>
      <c r="C41" s="5" t="n">
        <v>1</v>
      </c>
      <c r="D41" s="5" t="n">
        <v>1</v>
      </c>
      <c r="E41" s="5" t="n">
        <v>2</v>
      </c>
      <c r="F41" s="5" t="n">
        <v>2</v>
      </c>
      <c r="G41" s="5" t="n">
        <v>0</v>
      </c>
      <c r="H41" s="5" t="n">
        <f aca="false">SUM(C41:G41)</f>
        <v>6</v>
      </c>
      <c r="I41" s="5" t="str">
        <f aca="false">IF(H41&gt;=8,"High",IF(H41&gt;=5,"Moderate","Low"))</f>
        <v>Moderate</v>
      </c>
      <c r="J41" s="5" t="s">
        <v>1451</v>
      </c>
      <c r="K41" s="5"/>
      <c r="L41" s="5"/>
      <c r="M41" s="5"/>
      <c r="N41" s="5"/>
      <c r="O41" s="5"/>
      <c r="P41" s="5"/>
      <c r="Q41" s="5"/>
      <c r="R41" s="5"/>
      <c r="S41" s="5"/>
      <c r="T41" s="5"/>
      <c r="U41" s="5"/>
      <c r="V41" s="5"/>
      <c r="W41" s="5"/>
      <c r="X41" s="5"/>
      <c r="Y41" s="5"/>
      <c r="Z41" s="5"/>
    </row>
    <row r="42" customFormat="false" ht="23.85" hidden="false" customHeight="false" outlineLevel="0" collapsed="false">
      <c r="A42" s="5" t="n">
        <v>41</v>
      </c>
      <c r="B42" s="5" t="s">
        <v>956</v>
      </c>
      <c r="C42" s="5" t="n">
        <v>1</v>
      </c>
      <c r="D42" s="5" t="n">
        <v>1</v>
      </c>
      <c r="E42" s="5" t="n">
        <v>1</v>
      </c>
      <c r="F42" s="5" t="n">
        <v>2</v>
      </c>
      <c r="G42" s="5" t="n">
        <v>0</v>
      </c>
      <c r="H42" s="5" t="n">
        <f aca="false">SUM(C42:G42)</f>
        <v>5</v>
      </c>
      <c r="I42" s="5" t="str">
        <f aca="false">IF(H42&gt;=8,"High",IF(H42&gt;=5,"Moderate","Low"))</f>
        <v>Moderate</v>
      </c>
      <c r="J42" s="5" t="s">
        <v>1451</v>
      </c>
      <c r="K42" s="5"/>
      <c r="L42" s="5"/>
      <c r="M42" s="5"/>
      <c r="N42" s="5"/>
      <c r="O42" s="5"/>
      <c r="P42" s="5"/>
      <c r="Q42" s="5"/>
      <c r="R42" s="5"/>
      <c r="S42" s="5"/>
      <c r="T42" s="5"/>
      <c r="U42" s="5"/>
      <c r="V42" s="5"/>
      <c r="W42" s="5"/>
      <c r="X42" s="5"/>
      <c r="Y42" s="5"/>
      <c r="Z42" s="5"/>
    </row>
    <row r="43" customFormat="false" ht="23.85" hidden="false" customHeight="false" outlineLevel="0" collapsed="false">
      <c r="A43" s="5" t="n">
        <v>42</v>
      </c>
      <c r="B43" s="5" t="s">
        <v>959</v>
      </c>
      <c r="C43" s="5" t="n">
        <v>1</v>
      </c>
      <c r="D43" s="5" t="n">
        <v>1</v>
      </c>
      <c r="E43" s="5" t="n">
        <v>2</v>
      </c>
      <c r="F43" s="5" t="n">
        <v>2</v>
      </c>
      <c r="G43" s="5" t="n">
        <v>0</v>
      </c>
      <c r="H43" s="5" t="n">
        <f aca="false">SUM(C43:G43)</f>
        <v>6</v>
      </c>
      <c r="I43" s="5" t="str">
        <f aca="false">IF(H43&gt;=8,"High",IF(H43&gt;=5,"Moderate","Low"))</f>
        <v>Moderate</v>
      </c>
      <c r="J43" s="5" t="s">
        <v>1451</v>
      </c>
      <c r="K43" s="5"/>
      <c r="L43" s="5"/>
      <c r="M43" s="5"/>
      <c r="N43" s="5"/>
      <c r="O43" s="5"/>
      <c r="P43" s="5"/>
      <c r="Q43" s="5"/>
      <c r="R43" s="5"/>
      <c r="S43" s="5"/>
      <c r="T43" s="5"/>
      <c r="U43" s="5"/>
      <c r="V43" s="5"/>
      <c r="W43" s="5"/>
      <c r="X43" s="5"/>
      <c r="Y43" s="5"/>
      <c r="Z43" s="5"/>
    </row>
    <row r="44" customFormat="false" ht="23.85" hidden="false" customHeight="false" outlineLevel="0" collapsed="false">
      <c r="A44" s="5" t="n">
        <v>43</v>
      </c>
      <c r="B44" s="5" t="s">
        <v>962</v>
      </c>
      <c r="C44" s="5" t="n">
        <v>1</v>
      </c>
      <c r="D44" s="5" t="n">
        <v>1</v>
      </c>
      <c r="E44" s="5" t="n">
        <v>1</v>
      </c>
      <c r="F44" s="5" t="n">
        <v>2</v>
      </c>
      <c r="G44" s="5" t="n">
        <v>0</v>
      </c>
      <c r="H44" s="5" t="n">
        <f aca="false">SUM(C44:G44)</f>
        <v>5</v>
      </c>
      <c r="I44" s="5" t="str">
        <f aca="false">IF(H44&gt;=8,"High",IF(H44&gt;=5,"Moderate","Low"))</f>
        <v>Moderate</v>
      </c>
      <c r="J44" s="5" t="s">
        <v>1451</v>
      </c>
      <c r="K44" s="5"/>
      <c r="L44" s="5"/>
      <c r="M44" s="5"/>
      <c r="N44" s="5"/>
      <c r="O44" s="5"/>
      <c r="P44" s="5"/>
      <c r="Q44" s="5"/>
      <c r="R44" s="5"/>
      <c r="S44" s="5"/>
      <c r="T44" s="5"/>
      <c r="U44" s="5"/>
      <c r="V44" s="5"/>
      <c r="W44" s="5"/>
      <c r="X44" s="5"/>
      <c r="Y44" s="5"/>
      <c r="Z44" s="5"/>
    </row>
    <row r="45" customFormat="false" ht="23.85" hidden="false" customHeight="false" outlineLevel="0" collapsed="false">
      <c r="A45" s="5" t="n">
        <v>44</v>
      </c>
      <c r="B45" s="5" t="s">
        <v>965</v>
      </c>
      <c r="C45" s="5" t="n">
        <v>1</v>
      </c>
      <c r="D45" s="5" t="n">
        <v>1</v>
      </c>
      <c r="E45" s="5" t="n">
        <v>2</v>
      </c>
      <c r="F45" s="5" t="n">
        <v>2</v>
      </c>
      <c r="G45" s="5" t="n">
        <v>0</v>
      </c>
      <c r="H45" s="5" t="n">
        <f aca="false">SUM(C45:G45)</f>
        <v>6</v>
      </c>
      <c r="I45" s="5" t="str">
        <f aca="false">IF(H45&gt;=8,"High",IF(H45&gt;=5,"Moderate","Low"))</f>
        <v>Moderate</v>
      </c>
      <c r="J45" s="5" t="s">
        <v>1451</v>
      </c>
      <c r="K45" s="5"/>
      <c r="L45" s="5"/>
      <c r="M45" s="5"/>
      <c r="N45" s="5"/>
      <c r="O45" s="5"/>
      <c r="P45" s="5"/>
      <c r="Q45" s="5"/>
      <c r="R45" s="5"/>
      <c r="S45" s="5"/>
      <c r="T45" s="5"/>
      <c r="U45" s="5"/>
      <c r="V45" s="5"/>
      <c r="W45" s="5"/>
      <c r="X45" s="5"/>
      <c r="Y45" s="5"/>
      <c r="Z45" s="5"/>
    </row>
    <row r="46" customFormat="false" ht="23.85" hidden="false" customHeight="false" outlineLevel="0" collapsed="false">
      <c r="A46" s="5" t="n">
        <v>45</v>
      </c>
      <c r="B46" s="5" t="s">
        <v>968</v>
      </c>
      <c r="C46" s="5" t="n">
        <v>1</v>
      </c>
      <c r="D46" s="5" t="n">
        <v>1</v>
      </c>
      <c r="E46" s="5" t="n">
        <v>2</v>
      </c>
      <c r="F46" s="5" t="n">
        <v>2</v>
      </c>
      <c r="G46" s="5" t="n">
        <v>0</v>
      </c>
      <c r="H46" s="5" t="n">
        <f aca="false">SUM(C46:G46)</f>
        <v>6</v>
      </c>
      <c r="I46" s="5" t="str">
        <f aca="false">IF(H46&gt;=8,"High",IF(H46&gt;=5,"Moderate","Low"))</f>
        <v>Moderate</v>
      </c>
      <c r="J46" s="5" t="s">
        <v>1451</v>
      </c>
      <c r="K46" s="5"/>
      <c r="L46" s="5"/>
      <c r="M46" s="5"/>
      <c r="N46" s="5"/>
      <c r="O46" s="5"/>
      <c r="P46" s="5"/>
      <c r="Q46" s="5"/>
      <c r="R46" s="5"/>
      <c r="S46" s="5"/>
      <c r="T46" s="5"/>
      <c r="U46" s="5"/>
      <c r="V46" s="5"/>
      <c r="W46" s="5"/>
      <c r="X46" s="5"/>
      <c r="Y46" s="5"/>
      <c r="Z46" s="5"/>
    </row>
    <row r="47" customFormat="false" ht="23.85" hidden="false" customHeight="false" outlineLevel="0" collapsed="false">
      <c r="A47" s="5" t="n">
        <v>46</v>
      </c>
      <c r="B47" s="5" t="s">
        <v>970</v>
      </c>
      <c r="C47" s="5" t="n">
        <v>1</v>
      </c>
      <c r="D47" s="5" t="n">
        <v>1</v>
      </c>
      <c r="E47" s="5" t="n">
        <v>2</v>
      </c>
      <c r="F47" s="5" t="n">
        <v>2</v>
      </c>
      <c r="G47" s="5" t="n">
        <v>0</v>
      </c>
      <c r="H47" s="5" t="n">
        <f aca="false">SUM(C47:G47)</f>
        <v>6</v>
      </c>
      <c r="I47" s="5" t="str">
        <f aca="false">IF(H47&gt;=8,"High",IF(H47&gt;=5,"Moderate","Low"))</f>
        <v>Moderate</v>
      </c>
      <c r="J47" s="5" t="s">
        <v>1451</v>
      </c>
      <c r="K47" s="5"/>
      <c r="L47" s="5"/>
      <c r="M47" s="5"/>
      <c r="N47" s="5"/>
      <c r="O47" s="5"/>
      <c r="P47" s="5"/>
      <c r="Q47" s="5"/>
      <c r="R47" s="5"/>
      <c r="S47" s="5"/>
      <c r="T47" s="5"/>
      <c r="U47" s="5"/>
      <c r="V47" s="5"/>
      <c r="W47" s="5"/>
      <c r="X47" s="5"/>
      <c r="Y47" s="5"/>
      <c r="Z47" s="5"/>
    </row>
    <row r="48" customFormat="false" ht="23.85" hidden="false" customHeight="false" outlineLevel="0" collapsed="false">
      <c r="A48" s="5" t="n">
        <v>47</v>
      </c>
      <c r="B48" s="5" t="s">
        <v>973</v>
      </c>
      <c r="C48" s="5" t="n">
        <v>1</v>
      </c>
      <c r="D48" s="5" t="n">
        <v>1</v>
      </c>
      <c r="E48" s="5" t="n">
        <v>2</v>
      </c>
      <c r="F48" s="5" t="n">
        <v>2</v>
      </c>
      <c r="G48" s="5" t="n">
        <v>0</v>
      </c>
      <c r="H48" s="5" t="n">
        <f aca="false">SUM(C48:G48)</f>
        <v>6</v>
      </c>
      <c r="I48" s="5" t="str">
        <f aca="false">IF(H48&gt;=8,"High",IF(H48&gt;=5,"Moderate","Low"))</f>
        <v>Moderate</v>
      </c>
      <c r="J48" s="5" t="s">
        <v>1451</v>
      </c>
      <c r="K48" s="5"/>
      <c r="L48" s="5"/>
      <c r="M48" s="5"/>
      <c r="N48" s="5"/>
      <c r="O48" s="5"/>
      <c r="P48" s="5"/>
      <c r="Q48" s="5"/>
      <c r="R48" s="5"/>
      <c r="S48" s="5"/>
      <c r="T48" s="5"/>
      <c r="U48" s="5"/>
      <c r="V48" s="5"/>
      <c r="W48" s="5"/>
      <c r="X48" s="5"/>
      <c r="Y48" s="5"/>
      <c r="Z48" s="5"/>
    </row>
    <row r="49" customFormat="false" ht="23.85" hidden="false" customHeight="false" outlineLevel="0" collapsed="false">
      <c r="A49" s="5" t="n">
        <v>48</v>
      </c>
      <c r="B49" s="5" t="s">
        <v>976</v>
      </c>
      <c r="C49" s="5" t="n">
        <v>1</v>
      </c>
      <c r="D49" s="5" t="n">
        <v>1</v>
      </c>
      <c r="E49" s="5" t="n">
        <v>2</v>
      </c>
      <c r="F49" s="5" t="n">
        <v>2</v>
      </c>
      <c r="G49" s="5" t="n">
        <v>0</v>
      </c>
      <c r="H49" s="5" t="n">
        <f aca="false">SUM(C49:G49)</f>
        <v>6</v>
      </c>
      <c r="I49" s="5" t="str">
        <f aca="false">IF(H49&gt;=8,"High",IF(H49&gt;=5,"Moderate","Low"))</f>
        <v>Moderate</v>
      </c>
      <c r="J49" s="5" t="s">
        <v>1451</v>
      </c>
      <c r="K49" s="5"/>
      <c r="L49" s="5"/>
      <c r="M49" s="5"/>
      <c r="N49" s="5"/>
      <c r="O49" s="5"/>
      <c r="P49" s="5"/>
      <c r="Q49" s="5"/>
      <c r="R49" s="5"/>
      <c r="S49" s="5"/>
      <c r="T49" s="5"/>
      <c r="U49" s="5"/>
      <c r="V49" s="5"/>
      <c r="W49" s="5"/>
      <c r="X49" s="5"/>
      <c r="Y49" s="5"/>
      <c r="Z49" s="5"/>
    </row>
    <row r="50" customFormat="false" ht="23.85" hidden="false" customHeight="false" outlineLevel="0" collapsed="false">
      <c r="A50" s="5" t="n">
        <v>49</v>
      </c>
      <c r="B50" s="5" t="s">
        <v>979</v>
      </c>
      <c r="C50" s="5" t="n">
        <v>1</v>
      </c>
      <c r="D50" s="5" t="n">
        <v>1</v>
      </c>
      <c r="E50" s="5" t="n">
        <v>2</v>
      </c>
      <c r="F50" s="5" t="n">
        <v>2</v>
      </c>
      <c r="G50" s="5" t="n">
        <v>0</v>
      </c>
      <c r="H50" s="5" t="n">
        <f aca="false">SUM(C50:G50)</f>
        <v>6</v>
      </c>
      <c r="I50" s="5" t="str">
        <f aca="false">IF(H50&gt;=8,"High",IF(H50&gt;=5,"Moderate","Low"))</f>
        <v>Moderate</v>
      </c>
      <c r="J50" s="5" t="s">
        <v>1451</v>
      </c>
      <c r="K50" s="5"/>
      <c r="L50" s="5"/>
      <c r="M50" s="5"/>
      <c r="N50" s="5"/>
      <c r="O50" s="5"/>
      <c r="P50" s="5"/>
      <c r="Q50" s="5"/>
      <c r="R50" s="5"/>
      <c r="S50" s="5"/>
      <c r="T50" s="5"/>
      <c r="U50" s="5"/>
      <c r="V50" s="5"/>
      <c r="W50" s="5"/>
      <c r="X50" s="5"/>
      <c r="Y50" s="5"/>
      <c r="Z50" s="5"/>
    </row>
    <row r="51" customFormat="false" ht="23.85" hidden="false" customHeight="false" outlineLevel="0" collapsed="false">
      <c r="A51" s="5" t="n">
        <v>50</v>
      </c>
      <c r="B51" s="5" t="s">
        <v>981</v>
      </c>
      <c r="C51" s="5" t="n">
        <v>1</v>
      </c>
      <c r="D51" s="5" t="n">
        <v>1</v>
      </c>
      <c r="E51" s="5" t="n">
        <v>2</v>
      </c>
      <c r="F51" s="5" t="n">
        <v>2</v>
      </c>
      <c r="G51" s="5" t="n">
        <v>0</v>
      </c>
      <c r="H51" s="5" t="n">
        <f aca="false">SUM(C51:G51)</f>
        <v>6</v>
      </c>
      <c r="I51" s="5" t="str">
        <f aca="false">IF(H51&gt;=8,"High",IF(H51&gt;=5,"Moderate","Low"))</f>
        <v>Moderate</v>
      </c>
      <c r="J51" s="5" t="s">
        <v>1451</v>
      </c>
      <c r="K51" s="5"/>
      <c r="L51" s="5"/>
      <c r="M51" s="5"/>
      <c r="N51" s="5"/>
      <c r="O51" s="5"/>
      <c r="P51" s="5"/>
      <c r="Q51" s="5"/>
      <c r="R51" s="5"/>
      <c r="S51" s="5"/>
      <c r="T51" s="5"/>
      <c r="U51" s="5"/>
      <c r="V51" s="5"/>
      <c r="W51" s="5"/>
      <c r="X51" s="5"/>
      <c r="Y51" s="5"/>
      <c r="Z51" s="5"/>
    </row>
    <row r="52" customFormat="false" ht="23.85" hidden="false" customHeight="false" outlineLevel="0" collapsed="false">
      <c r="A52" s="5" t="n">
        <v>51</v>
      </c>
      <c r="B52" s="5" t="s">
        <v>983</v>
      </c>
      <c r="C52" s="5" t="n">
        <v>1</v>
      </c>
      <c r="D52" s="5" t="n">
        <v>1</v>
      </c>
      <c r="E52" s="5" t="n">
        <v>2</v>
      </c>
      <c r="F52" s="5" t="n">
        <v>2</v>
      </c>
      <c r="G52" s="5" t="n">
        <v>0</v>
      </c>
      <c r="H52" s="5" t="n">
        <f aca="false">SUM(C52:G52)</f>
        <v>6</v>
      </c>
      <c r="I52" s="5" t="str">
        <f aca="false">IF(H52&gt;=8,"High",IF(H52&gt;=5,"Moderate","Low"))</f>
        <v>Moderate</v>
      </c>
      <c r="J52" s="5" t="s">
        <v>1451</v>
      </c>
      <c r="K52" s="5"/>
      <c r="L52" s="5"/>
      <c r="M52" s="5"/>
      <c r="N52" s="5"/>
      <c r="O52" s="5"/>
      <c r="P52" s="5"/>
      <c r="Q52" s="5"/>
      <c r="R52" s="5"/>
      <c r="S52" s="5"/>
      <c r="T52" s="5"/>
      <c r="U52" s="5"/>
      <c r="V52" s="5"/>
      <c r="W52" s="5"/>
      <c r="X52" s="5"/>
      <c r="Y52" s="5"/>
      <c r="Z52" s="5"/>
    </row>
    <row r="53" customFormat="false" ht="23.85" hidden="false" customHeight="false" outlineLevel="0" collapsed="false">
      <c r="A53" s="5" t="n">
        <v>52</v>
      </c>
      <c r="B53" s="5" t="s">
        <v>986</v>
      </c>
      <c r="C53" s="5" t="n">
        <v>1</v>
      </c>
      <c r="D53" s="5" t="n">
        <v>1</v>
      </c>
      <c r="E53" s="5" t="n">
        <v>2</v>
      </c>
      <c r="F53" s="5" t="n">
        <v>2</v>
      </c>
      <c r="G53" s="5" t="n">
        <v>0</v>
      </c>
      <c r="H53" s="5" t="n">
        <f aca="false">SUM(C53:G53)</f>
        <v>6</v>
      </c>
      <c r="I53" s="5" t="str">
        <f aca="false">IF(H53&gt;=8,"High",IF(H53&gt;=5,"Moderate","Low"))</f>
        <v>Moderate</v>
      </c>
      <c r="J53" s="5" t="s">
        <v>1451</v>
      </c>
      <c r="K53" s="5"/>
      <c r="L53" s="5"/>
      <c r="M53" s="5"/>
      <c r="N53" s="5"/>
      <c r="O53" s="5"/>
      <c r="P53" s="5"/>
      <c r="Q53" s="5"/>
      <c r="R53" s="5"/>
      <c r="S53" s="5"/>
      <c r="T53" s="5"/>
      <c r="U53" s="5"/>
      <c r="V53" s="5"/>
      <c r="W53" s="5"/>
      <c r="X53" s="5"/>
      <c r="Y53" s="5"/>
      <c r="Z53" s="5"/>
    </row>
    <row r="54" customFormat="false" ht="23.85" hidden="false" customHeight="false" outlineLevel="0" collapsed="false">
      <c r="A54" s="5" t="n">
        <v>53</v>
      </c>
      <c r="B54" s="5" t="s">
        <v>990</v>
      </c>
      <c r="C54" s="5" t="n">
        <v>1</v>
      </c>
      <c r="D54" s="5" t="n">
        <v>1</v>
      </c>
      <c r="E54" s="5" t="n">
        <v>2</v>
      </c>
      <c r="F54" s="5" t="n">
        <v>2</v>
      </c>
      <c r="G54" s="5" t="n">
        <v>0</v>
      </c>
      <c r="H54" s="5" t="n">
        <f aca="false">SUM(C54:G54)</f>
        <v>6</v>
      </c>
      <c r="I54" s="5" t="str">
        <f aca="false">IF(H54&gt;=8,"High",IF(H54&gt;=5,"Moderate","Low"))</f>
        <v>Moderate</v>
      </c>
      <c r="J54" s="5" t="s">
        <v>1451</v>
      </c>
      <c r="K54" s="5"/>
      <c r="L54" s="5"/>
      <c r="M54" s="5"/>
      <c r="N54" s="5"/>
      <c r="O54" s="5"/>
      <c r="P54" s="5"/>
      <c r="Q54" s="5"/>
      <c r="R54" s="5"/>
      <c r="S54" s="5"/>
      <c r="T54" s="5"/>
      <c r="U54" s="5"/>
      <c r="V54" s="5"/>
      <c r="W54" s="5"/>
      <c r="X54" s="5"/>
      <c r="Y54" s="5"/>
      <c r="Z54" s="5"/>
    </row>
    <row r="55" customFormat="false" ht="23.85" hidden="false" customHeight="false" outlineLevel="0" collapsed="false">
      <c r="A55" s="5" t="n">
        <v>54</v>
      </c>
      <c r="B55" s="5" t="s">
        <v>993</v>
      </c>
      <c r="C55" s="5" t="n">
        <v>1</v>
      </c>
      <c r="D55" s="5" t="n">
        <v>1</v>
      </c>
      <c r="E55" s="5" t="n">
        <v>2</v>
      </c>
      <c r="F55" s="5" t="n">
        <v>2</v>
      </c>
      <c r="G55" s="5" t="n">
        <v>0</v>
      </c>
      <c r="H55" s="5" t="n">
        <f aca="false">SUM(C55:G55)</f>
        <v>6</v>
      </c>
      <c r="I55" s="5" t="str">
        <f aca="false">IF(H55&gt;=8,"High",IF(H55&gt;=5,"Moderate","Low"))</f>
        <v>Moderate</v>
      </c>
      <c r="J55" s="5" t="s">
        <v>1451</v>
      </c>
      <c r="K55" s="5"/>
      <c r="L55" s="5"/>
      <c r="M55" s="5"/>
      <c r="N55" s="5"/>
      <c r="O55" s="5"/>
      <c r="P55" s="5"/>
      <c r="Q55" s="5"/>
      <c r="R55" s="5"/>
      <c r="S55" s="5"/>
      <c r="T55" s="5"/>
      <c r="U55" s="5"/>
      <c r="V55" s="5"/>
      <c r="W55" s="5"/>
      <c r="X55" s="5"/>
      <c r="Y55" s="5"/>
      <c r="Z55" s="5"/>
    </row>
    <row r="56" customFormat="false" ht="23.85" hidden="false" customHeight="false" outlineLevel="0" collapsed="false">
      <c r="A56" s="5" t="n">
        <v>55</v>
      </c>
      <c r="B56" s="5" t="s">
        <v>996</v>
      </c>
      <c r="C56" s="5" t="n">
        <v>1</v>
      </c>
      <c r="D56" s="5" t="n">
        <v>1</v>
      </c>
      <c r="E56" s="5" t="n">
        <v>2</v>
      </c>
      <c r="F56" s="5" t="n">
        <v>2</v>
      </c>
      <c r="G56" s="5" t="n">
        <v>0</v>
      </c>
      <c r="H56" s="5" t="n">
        <f aca="false">SUM(C56:G56)</f>
        <v>6</v>
      </c>
      <c r="I56" s="5" t="str">
        <f aca="false">IF(H56&gt;=8,"High",IF(H56&gt;=5,"Moderate","Low"))</f>
        <v>Moderate</v>
      </c>
      <c r="J56" s="5" t="s">
        <v>1451</v>
      </c>
      <c r="K56" s="5"/>
      <c r="L56" s="5"/>
      <c r="M56" s="5"/>
      <c r="N56" s="5"/>
      <c r="O56" s="5"/>
      <c r="P56" s="5"/>
      <c r="Q56" s="5"/>
      <c r="R56" s="5"/>
      <c r="S56" s="5"/>
      <c r="T56" s="5"/>
      <c r="U56" s="5"/>
      <c r="V56" s="5"/>
      <c r="W56" s="5"/>
      <c r="X56" s="5"/>
      <c r="Y56" s="5"/>
      <c r="Z56" s="5"/>
    </row>
    <row r="57" customFormat="false" ht="23.85" hidden="false" customHeight="false" outlineLevel="0" collapsed="false">
      <c r="A57" s="5" t="n">
        <v>56</v>
      </c>
      <c r="B57" s="5" t="s">
        <v>175</v>
      </c>
      <c r="C57" s="5" t="n">
        <v>2</v>
      </c>
      <c r="D57" s="5" t="n">
        <v>2</v>
      </c>
      <c r="E57" s="5" t="n">
        <v>2</v>
      </c>
      <c r="F57" s="5" t="n">
        <v>2</v>
      </c>
      <c r="G57" s="5" t="n">
        <v>0</v>
      </c>
      <c r="H57" s="5" t="n">
        <f aca="false">SUM(C57:G57)</f>
        <v>8</v>
      </c>
      <c r="I57" s="5" t="str">
        <f aca="false">IF(H57&gt;=8,"High",IF(H57&gt;=5,"Moderate","Low"))</f>
        <v>High</v>
      </c>
      <c r="J57" s="5" t="s">
        <v>1451</v>
      </c>
      <c r="K57" s="5"/>
      <c r="L57" s="5"/>
      <c r="M57" s="5"/>
      <c r="N57" s="5"/>
      <c r="O57" s="5"/>
      <c r="P57" s="5"/>
      <c r="Q57" s="5"/>
      <c r="R57" s="5"/>
      <c r="S57" s="5"/>
      <c r="T57" s="5"/>
      <c r="U57" s="5"/>
      <c r="V57" s="5"/>
      <c r="W57" s="5"/>
      <c r="X57" s="5"/>
      <c r="Y57" s="5"/>
      <c r="Z57" s="5"/>
    </row>
    <row r="58" customFormat="false" ht="23.85" hidden="false" customHeight="false" outlineLevel="0" collapsed="false">
      <c r="A58" s="5" t="n">
        <v>57</v>
      </c>
      <c r="B58" s="5" t="s">
        <v>177</v>
      </c>
      <c r="C58" s="5" t="n">
        <v>1</v>
      </c>
      <c r="D58" s="5" t="n">
        <v>2</v>
      </c>
      <c r="E58" s="5" t="n">
        <v>1</v>
      </c>
      <c r="F58" s="5" t="n">
        <v>2</v>
      </c>
      <c r="G58" s="5" t="n">
        <v>0</v>
      </c>
      <c r="H58" s="5" t="n">
        <f aca="false">SUM(C58:G58)</f>
        <v>6</v>
      </c>
      <c r="I58" s="5" t="str">
        <f aca="false">IF(H58&gt;=8,"High",IF(H58&gt;=5,"Moderate","Low"))</f>
        <v>Moderate</v>
      </c>
      <c r="J58" s="5" t="s">
        <v>1451</v>
      </c>
      <c r="K58" s="5"/>
      <c r="L58" s="5"/>
      <c r="M58" s="5"/>
      <c r="N58" s="5"/>
      <c r="O58" s="5"/>
      <c r="P58" s="5"/>
      <c r="Q58" s="5"/>
      <c r="R58" s="5"/>
      <c r="S58" s="5"/>
      <c r="T58" s="5"/>
      <c r="U58" s="5"/>
      <c r="V58" s="5"/>
      <c r="W58" s="5"/>
      <c r="X58" s="5"/>
      <c r="Y58" s="5"/>
      <c r="Z58" s="5"/>
    </row>
    <row r="59" customFormat="false" ht="23.85" hidden="false" customHeight="false" outlineLevel="0" collapsed="false">
      <c r="A59" s="5" t="n">
        <v>58</v>
      </c>
      <c r="B59" s="5" t="s">
        <v>179</v>
      </c>
      <c r="C59" s="5" t="n">
        <v>2</v>
      </c>
      <c r="D59" s="5" t="n">
        <v>2</v>
      </c>
      <c r="E59" s="5" t="n">
        <v>2</v>
      </c>
      <c r="F59" s="5" t="n">
        <v>2</v>
      </c>
      <c r="G59" s="5" t="n">
        <v>1</v>
      </c>
      <c r="H59" s="5" t="n">
        <f aca="false">SUM(C59:G59)</f>
        <v>9</v>
      </c>
      <c r="I59" s="5" t="str">
        <f aca="false">IF(H59&gt;=8,"High",IF(H59&gt;=5,"Moderate","Low"))</f>
        <v>High</v>
      </c>
      <c r="J59" s="5" t="s">
        <v>1451</v>
      </c>
      <c r="K59" s="5"/>
      <c r="L59" s="5"/>
      <c r="M59" s="5"/>
      <c r="N59" s="5"/>
      <c r="O59" s="5"/>
      <c r="P59" s="5"/>
      <c r="Q59" s="5"/>
      <c r="R59" s="5"/>
      <c r="S59" s="5"/>
      <c r="T59" s="5"/>
      <c r="U59" s="5"/>
      <c r="V59" s="5"/>
      <c r="W59" s="5"/>
      <c r="X59" s="5"/>
      <c r="Y59" s="5"/>
      <c r="Z59" s="5"/>
    </row>
    <row r="60" customFormat="false" ht="15" hidden="false" customHeight="false" outlineLevel="0" collapsed="false">
      <c r="A60" s="1" t="n">
        <v>59</v>
      </c>
      <c r="B60" s="1" t="s">
        <v>181</v>
      </c>
      <c r="C60" s="1" t="n">
        <v>2</v>
      </c>
      <c r="D60" s="1" t="n">
        <v>2</v>
      </c>
      <c r="E60" s="1" t="n">
        <v>2</v>
      </c>
      <c r="F60" s="1" t="n">
        <v>2</v>
      </c>
      <c r="G60" s="1" t="n">
        <v>1</v>
      </c>
      <c r="H60" s="1" t="n">
        <v>9</v>
      </c>
      <c r="I60" s="1" t="s">
        <v>52</v>
      </c>
      <c r="J60" s="1" t="s">
        <v>1452</v>
      </c>
    </row>
  </sheetData>
  <conditionalFormatting sqref="H2:H59">
    <cfRule type="colorScale" priority="2">
      <colorScale>
        <cfvo type="min" val="0"/>
        <cfvo type="percentile" val="50"/>
        <cfvo type="max" val="0"/>
        <color rgb="FFF8696B"/>
        <color rgb="FFFFEB84"/>
        <color rgb="FF63BE7B"/>
      </colorScale>
    </cfRule>
  </conditionalFormatting>
  <dataValidations count="5">
    <dataValidation allowBlank="false" errorStyle="stop" operator="between" showDropDown="false" showErrorMessage="false" showInputMessage="false" sqref="C2:C59" type="list">
      <formula1>"0,1,2"</formula1>
      <formula2>0</formula2>
    </dataValidation>
    <dataValidation allowBlank="false" errorStyle="stop" operator="between" showDropDown="false" showErrorMessage="false" showInputMessage="false" sqref="D2:D59" type="list">
      <formula1>"0,1,2"</formula1>
      <formula2>0</formula2>
    </dataValidation>
    <dataValidation allowBlank="false" errorStyle="stop" operator="between" showDropDown="false" showErrorMessage="false" showInputMessage="false" sqref="E2:E59" type="list">
      <formula1>"0,1,2"</formula1>
      <formula2>0</formula2>
    </dataValidation>
    <dataValidation allowBlank="false" errorStyle="stop" operator="between" showDropDown="false" showErrorMessage="false" showInputMessage="false" sqref="F2:F59" type="list">
      <formula1>"0,1,2"</formula1>
      <formula2>0</formula2>
    </dataValidation>
    <dataValidation allowBlank="false" errorStyle="stop" operator="between" showDropDown="false" showErrorMessage="false" showInputMessage="false" sqref="G2:G59" type="list">
      <formula1>"0,1,2"</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26" min="3" style="1" width="18"/>
  </cols>
  <sheetData>
    <row r="1" customFormat="false" ht="34" hidden="false" customHeight="true" outlineLevel="0" collapsed="false">
      <c r="A1" s="6" t="s">
        <v>805</v>
      </c>
      <c r="B1" s="5" t="s">
        <v>1012</v>
      </c>
      <c r="C1" s="5" t="s">
        <v>1453</v>
      </c>
      <c r="D1" s="5" t="s">
        <v>1454</v>
      </c>
      <c r="E1" s="5" t="s">
        <v>1455</v>
      </c>
      <c r="F1" s="5" t="s">
        <v>1456</v>
      </c>
      <c r="G1" s="5" t="s">
        <v>1457</v>
      </c>
      <c r="H1" s="5" t="s">
        <v>1458</v>
      </c>
      <c r="I1" s="5" t="s">
        <v>1459</v>
      </c>
      <c r="J1" s="5"/>
      <c r="K1" s="5"/>
      <c r="L1" s="5"/>
      <c r="M1" s="5"/>
      <c r="N1" s="5"/>
      <c r="O1" s="5"/>
      <c r="P1" s="5"/>
      <c r="Q1" s="5"/>
      <c r="R1" s="5"/>
      <c r="S1" s="5"/>
      <c r="T1" s="5"/>
      <c r="U1" s="5"/>
      <c r="V1" s="5"/>
      <c r="W1" s="5"/>
      <c r="X1" s="5"/>
      <c r="Y1" s="5"/>
      <c r="Z1" s="5"/>
    </row>
    <row r="2" customFormat="false" ht="23.85" hidden="false" customHeight="false" outlineLevel="0" collapsed="false">
      <c r="A2" s="5" t="n">
        <v>1</v>
      </c>
      <c r="B2" s="5" t="s">
        <v>819</v>
      </c>
      <c r="C2" s="5" t="s">
        <v>8</v>
      </c>
      <c r="D2" s="5" t="s">
        <v>8</v>
      </c>
      <c r="E2" s="5" t="s">
        <v>8</v>
      </c>
      <c r="F2" s="5" t="s">
        <v>8</v>
      </c>
      <c r="G2" s="5" t="s">
        <v>8</v>
      </c>
      <c r="H2" s="5" t="s">
        <v>8</v>
      </c>
      <c r="I2" s="5" t="s">
        <v>8</v>
      </c>
      <c r="J2" s="5"/>
      <c r="K2" s="5"/>
      <c r="L2" s="5"/>
      <c r="M2" s="5"/>
      <c r="N2" s="5"/>
      <c r="O2" s="5"/>
      <c r="P2" s="5"/>
      <c r="Q2" s="5"/>
      <c r="R2" s="5"/>
      <c r="S2" s="5"/>
      <c r="T2" s="5"/>
      <c r="U2" s="5"/>
      <c r="V2" s="5"/>
      <c r="W2" s="5"/>
      <c r="X2" s="5"/>
      <c r="Y2" s="5"/>
      <c r="Z2" s="5"/>
    </row>
    <row r="3" customFormat="false" ht="23.85" hidden="false" customHeight="false" outlineLevel="0" collapsed="false">
      <c r="A3" s="5" t="n">
        <v>2</v>
      </c>
      <c r="B3" s="5" t="s">
        <v>824</v>
      </c>
      <c r="C3" s="5" t="s">
        <v>8</v>
      </c>
      <c r="D3" s="5" t="s">
        <v>8</v>
      </c>
      <c r="E3" s="5" t="s">
        <v>8</v>
      </c>
      <c r="F3" s="5" t="s">
        <v>8</v>
      </c>
      <c r="G3" s="5" t="s">
        <v>8</v>
      </c>
      <c r="H3" s="5" t="s">
        <v>8</v>
      </c>
      <c r="I3" s="5" t="s">
        <v>8</v>
      </c>
      <c r="J3" s="5"/>
      <c r="K3" s="5"/>
      <c r="L3" s="5"/>
      <c r="M3" s="5"/>
      <c r="N3" s="5"/>
      <c r="O3" s="5"/>
      <c r="P3" s="5"/>
      <c r="Q3" s="5"/>
      <c r="R3" s="5"/>
      <c r="S3" s="5"/>
      <c r="T3" s="5"/>
      <c r="U3" s="5"/>
      <c r="V3" s="5"/>
      <c r="W3" s="5"/>
      <c r="X3" s="5"/>
      <c r="Y3" s="5"/>
      <c r="Z3" s="5"/>
    </row>
    <row r="4" customFormat="false" ht="23.85" hidden="false" customHeight="false" outlineLevel="0" collapsed="false">
      <c r="A4" s="5" t="n">
        <v>3</v>
      </c>
      <c r="B4" s="5" t="s">
        <v>828</v>
      </c>
      <c r="C4" s="5" t="s">
        <v>8</v>
      </c>
      <c r="D4" s="5" t="s">
        <v>8</v>
      </c>
      <c r="E4" s="5" t="s">
        <v>8</v>
      </c>
      <c r="F4" s="5" t="s">
        <v>8</v>
      </c>
      <c r="G4" s="5" t="s">
        <v>8</v>
      </c>
      <c r="H4" s="5" t="s">
        <v>8</v>
      </c>
      <c r="I4" s="5" t="s">
        <v>8</v>
      </c>
      <c r="J4" s="5"/>
      <c r="K4" s="5"/>
      <c r="L4" s="5"/>
      <c r="M4" s="5"/>
      <c r="N4" s="5"/>
      <c r="O4" s="5"/>
      <c r="P4" s="5"/>
      <c r="Q4" s="5"/>
      <c r="R4" s="5"/>
      <c r="S4" s="5"/>
      <c r="T4" s="5"/>
      <c r="U4" s="5"/>
      <c r="V4" s="5"/>
      <c r="W4" s="5"/>
      <c r="X4" s="5"/>
      <c r="Y4" s="5"/>
      <c r="Z4" s="5"/>
    </row>
    <row r="5" customFormat="false" ht="23.85" hidden="false" customHeight="false" outlineLevel="0" collapsed="false">
      <c r="A5" s="5" t="n">
        <v>4</v>
      </c>
      <c r="B5" s="5" t="s">
        <v>58</v>
      </c>
      <c r="C5" s="5" t="s">
        <v>8</v>
      </c>
      <c r="D5" s="5" t="s">
        <v>8</v>
      </c>
      <c r="E5" s="5" t="s">
        <v>8</v>
      </c>
      <c r="F5" s="5" t="s">
        <v>8</v>
      </c>
      <c r="G5" s="5" t="s">
        <v>8</v>
      </c>
      <c r="H5" s="5" t="s">
        <v>8</v>
      </c>
      <c r="I5" s="5" t="s">
        <v>8</v>
      </c>
      <c r="J5" s="5"/>
      <c r="K5" s="5"/>
      <c r="L5" s="5"/>
      <c r="M5" s="5"/>
      <c r="N5" s="5"/>
      <c r="O5" s="5"/>
      <c r="P5" s="5"/>
      <c r="Q5" s="5"/>
      <c r="R5" s="5"/>
      <c r="S5" s="5"/>
      <c r="T5" s="5"/>
      <c r="U5" s="5"/>
      <c r="V5" s="5"/>
      <c r="W5" s="5"/>
      <c r="X5" s="5"/>
      <c r="Y5" s="5"/>
      <c r="Z5" s="5"/>
    </row>
    <row r="6" customFormat="false" ht="23.85" hidden="false" customHeight="false" outlineLevel="0" collapsed="false">
      <c r="A6" s="5" t="n">
        <v>5</v>
      </c>
      <c r="B6" s="5" t="s">
        <v>62</v>
      </c>
      <c r="C6" s="5" t="s">
        <v>8</v>
      </c>
      <c r="D6" s="5" t="s">
        <v>8</v>
      </c>
      <c r="E6" s="5" t="s">
        <v>8</v>
      </c>
      <c r="F6" s="5" t="s">
        <v>8</v>
      </c>
      <c r="G6" s="5" t="s">
        <v>8</v>
      </c>
      <c r="H6" s="5" t="s">
        <v>8</v>
      </c>
      <c r="I6" s="5" t="s">
        <v>8</v>
      </c>
      <c r="J6" s="5"/>
      <c r="K6" s="5"/>
      <c r="L6" s="5"/>
      <c r="M6" s="5"/>
      <c r="N6" s="5"/>
      <c r="O6" s="5"/>
      <c r="P6" s="5"/>
      <c r="Q6" s="5"/>
      <c r="R6" s="5"/>
      <c r="S6" s="5"/>
      <c r="T6" s="5"/>
      <c r="U6" s="5"/>
      <c r="V6" s="5"/>
      <c r="W6" s="5"/>
      <c r="X6" s="5"/>
      <c r="Y6" s="5"/>
      <c r="Z6" s="5"/>
    </row>
    <row r="7" customFormat="false" ht="23.85" hidden="false" customHeight="false" outlineLevel="0" collapsed="false">
      <c r="A7" s="5" t="n">
        <v>6</v>
      </c>
      <c r="B7" s="5" t="s">
        <v>839</v>
      </c>
      <c r="C7" s="5" t="s">
        <v>8</v>
      </c>
      <c r="D7" s="5" t="s">
        <v>8</v>
      </c>
      <c r="E7" s="5" t="s">
        <v>8</v>
      </c>
      <c r="F7" s="5" t="s">
        <v>8</v>
      </c>
      <c r="G7" s="5" t="s">
        <v>8</v>
      </c>
      <c r="H7" s="5" t="s">
        <v>8</v>
      </c>
      <c r="I7" s="5" t="s">
        <v>8</v>
      </c>
      <c r="J7" s="5"/>
      <c r="K7" s="5"/>
      <c r="L7" s="5"/>
      <c r="M7" s="5"/>
      <c r="N7" s="5"/>
      <c r="O7" s="5"/>
      <c r="P7" s="5"/>
      <c r="Q7" s="5"/>
      <c r="R7" s="5"/>
      <c r="S7" s="5"/>
      <c r="T7" s="5"/>
      <c r="U7" s="5"/>
      <c r="V7" s="5"/>
      <c r="W7" s="5"/>
      <c r="X7" s="5"/>
      <c r="Y7" s="5"/>
      <c r="Z7" s="5"/>
    </row>
    <row r="8" customFormat="false" ht="23.85" hidden="false" customHeight="false" outlineLevel="0" collapsed="false">
      <c r="A8" s="5" t="n">
        <v>7</v>
      </c>
      <c r="B8" s="5" t="s">
        <v>842</v>
      </c>
      <c r="C8" s="5" t="s">
        <v>8</v>
      </c>
      <c r="D8" s="5" t="s">
        <v>8</v>
      </c>
      <c r="E8" s="5" t="s">
        <v>8</v>
      </c>
      <c r="F8" s="5" t="s">
        <v>8</v>
      </c>
      <c r="G8" s="5" t="s">
        <v>8</v>
      </c>
      <c r="H8" s="5" t="s">
        <v>8</v>
      </c>
      <c r="I8" s="5" t="s">
        <v>8</v>
      </c>
      <c r="J8" s="5"/>
      <c r="K8" s="5"/>
      <c r="L8" s="5"/>
      <c r="M8" s="5"/>
      <c r="N8" s="5"/>
      <c r="O8" s="5"/>
      <c r="P8" s="5"/>
      <c r="Q8" s="5"/>
      <c r="R8" s="5"/>
      <c r="S8" s="5"/>
      <c r="T8" s="5"/>
      <c r="U8" s="5"/>
      <c r="V8" s="5"/>
      <c r="W8" s="5"/>
      <c r="X8" s="5"/>
      <c r="Y8" s="5"/>
      <c r="Z8" s="5"/>
    </row>
    <row r="9" customFormat="false" ht="23.85" hidden="false" customHeight="false" outlineLevel="0" collapsed="false">
      <c r="A9" s="5" t="n">
        <v>8</v>
      </c>
      <c r="B9" s="5" t="s">
        <v>847</v>
      </c>
      <c r="C9" s="5" t="s">
        <v>8</v>
      </c>
      <c r="D9" s="5" t="s">
        <v>8</v>
      </c>
      <c r="E9" s="5" t="s">
        <v>8</v>
      </c>
      <c r="F9" s="5" t="s">
        <v>8</v>
      </c>
      <c r="G9" s="5" t="s">
        <v>8</v>
      </c>
      <c r="H9" s="5" t="s">
        <v>8</v>
      </c>
      <c r="I9" s="5" t="s">
        <v>8</v>
      </c>
      <c r="J9" s="5"/>
      <c r="K9" s="5"/>
      <c r="L9" s="5"/>
      <c r="M9" s="5"/>
      <c r="N9" s="5"/>
      <c r="O9" s="5"/>
      <c r="P9" s="5"/>
      <c r="Q9" s="5"/>
      <c r="R9" s="5"/>
      <c r="S9" s="5"/>
      <c r="T9" s="5"/>
      <c r="U9" s="5"/>
      <c r="V9" s="5"/>
      <c r="W9" s="5"/>
      <c r="X9" s="5"/>
      <c r="Y9" s="5"/>
      <c r="Z9" s="5"/>
    </row>
    <row r="10" customFormat="false" ht="23.85" hidden="false" customHeight="false" outlineLevel="0" collapsed="false">
      <c r="A10" s="5" t="n">
        <v>9</v>
      </c>
      <c r="B10" s="5" t="s">
        <v>852</v>
      </c>
      <c r="C10" s="5" t="s">
        <v>8</v>
      </c>
      <c r="D10" s="5" t="s">
        <v>8</v>
      </c>
      <c r="E10" s="5" t="s">
        <v>8</v>
      </c>
      <c r="F10" s="5" t="s">
        <v>8</v>
      </c>
      <c r="G10" s="5" t="s">
        <v>8</v>
      </c>
      <c r="H10" s="5" t="s">
        <v>8</v>
      </c>
      <c r="I10" s="5" t="s">
        <v>8</v>
      </c>
      <c r="J10" s="5"/>
      <c r="K10" s="5"/>
      <c r="L10" s="5"/>
      <c r="M10" s="5"/>
      <c r="N10" s="5"/>
      <c r="O10" s="5"/>
      <c r="P10" s="5"/>
      <c r="Q10" s="5"/>
      <c r="R10" s="5"/>
      <c r="S10" s="5"/>
      <c r="T10" s="5"/>
      <c r="U10" s="5"/>
      <c r="V10" s="5"/>
      <c r="W10" s="5"/>
      <c r="X10" s="5"/>
      <c r="Y10" s="5"/>
      <c r="Z10" s="5"/>
    </row>
    <row r="11" customFormat="false" ht="23.85" hidden="false" customHeight="false" outlineLevel="0" collapsed="false">
      <c r="A11" s="5" t="n">
        <v>10</v>
      </c>
      <c r="B11" s="5" t="s">
        <v>852</v>
      </c>
      <c r="C11" s="5" t="s">
        <v>8</v>
      </c>
      <c r="D11" s="5" t="s">
        <v>8</v>
      </c>
      <c r="E11" s="5" t="s">
        <v>8</v>
      </c>
      <c r="F11" s="5" t="s">
        <v>8</v>
      </c>
      <c r="G11" s="5" t="s">
        <v>8</v>
      </c>
      <c r="H11" s="5" t="s">
        <v>8</v>
      </c>
      <c r="I11" s="5" t="s">
        <v>8</v>
      </c>
      <c r="J11" s="5"/>
      <c r="K11" s="5"/>
      <c r="L11" s="5"/>
      <c r="M11" s="5"/>
      <c r="N11" s="5"/>
      <c r="O11" s="5"/>
      <c r="P11" s="5"/>
      <c r="Q11" s="5"/>
      <c r="R11" s="5"/>
      <c r="S11" s="5"/>
      <c r="T11" s="5"/>
      <c r="U11" s="5"/>
      <c r="V11" s="5"/>
      <c r="W11" s="5"/>
      <c r="X11" s="5"/>
      <c r="Y11" s="5"/>
      <c r="Z11" s="5"/>
    </row>
    <row r="12" customFormat="false" ht="23.85" hidden="false" customHeight="false" outlineLevel="0" collapsed="false">
      <c r="A12" s="5" t="n">
        <v>11</v>
      </c>
      <c r="B12" s="5" t="s">
        <v>854</v>
      </c>
      <c r="C12" s="5" t="s">
        <v>8</v>
      </c>
      <c r="D12" s="5" t="s">
        <v>8</v>
      </c>
      <c r="E12" s="5" t="s">
        <v>8</v>
      </c>
      <c r="F12" s="5" t="s">
        <v>8</v>
      </c>
      <c r="G12" s="5" t="s">
        <v>8</v>
      </c>
      <c r="H12" s="5" t="s">
        <v>8</v>
      </c>
      <c r="I12" s="5" t="s">
        <v>8</v>
      </c>
      <c r="J12" s="5"/>
      <c r="K12" s="5"/>
      <c r="L12" s="5"/>
      <c r="M12" s="5"/>
      <c r="N12" s="5"/>
      <c r="O12" s="5"/>
      <c r="P12" s="5"/>
      <c r="Q12" s="5"/>
      <c r="R12" s="5"/>
      <c r="S12" s="5"/>
      <c r="T12" s="5"/>
      <c r="U12" s="5"/>
      <c r="V12" s="5"/>
      <c r="W12" s="5"/>
      <c r="X12" s="5"/>
      <c r="Y12" s="5"/>
      <c r="Z12" s="5"/>
    </row>
    <row r="13" customFormat="false" ht="23.85" hidden="false" customHeight="false" outlineLevel="0" collapsed="false">
      <c r="A13" s="5" t="n">
        <v>12</v>
      </c>
      <c r="B13" s="5" t="s">
        <v>857</v>
      </c>
      <c r="C13" s="5" t="s">
        <v>8</v>
      </c>
      <c r="D13" s="5" t="s">
        <v>8</v>
      </c>
      <c r="E13" s="5" t="s">
        <v>8</v>
      </c>
      <c r="F13" s="5" t="s">
        <v>8</v>
      </c>
      <c r="G13" s="5" t="s">
        <v>8</v>
      </c>
      <c r="H13" s="5" t="s">
        <v>8</v>
      </c>
      <c r="I13" s="5" t="s">
        <v>8</v>
      </c>
      <c r="J13" s="5"/>
      <c r="K13" s="5"/>
      <c r="L13" s="5"/>
      <c r="M13" s="5"/>
      <c r="N13" s="5"/>
      <c r="O13" s="5"/>
      <c r="P13" s="5"/>
      <c r="Q13" s="5"/>
      <c r="R13" s="5"/>
      <c r="S13" s="5"/>
      <c r="T13" s="5"/>
      <c r="U13" s="5"/>
      <c r="V13" s="5"/>
      <c r="W13" s="5"/>
      <c r="X13" s="5"/>
      <c r="Y13" s="5"/>
      <c r="Z13" s="5"/>
    </row>
    <row r="14" customFormat="false" ht="23.85" hidden="false" customHeight="false" outlineLevel="0" collapsed="false">
      <c r="A14" s="5" t="n">
        <v>13</v>
      </c>
      <c r="B14" s="5" t="s">
        <v>860</v>
      </c>
      <c r="C14" s="5" t="s">
        <v>8</v>
      </c>
      <c r="D14" s="5" t="s">
        <v>8</v>
      </c>
      <c r="E14" s="5" t="s">
        <v>8</v>
      </c>
      <c r="F14" s="5" t="s">
        <v>8</v>
      </c>
      <c r="G14" s="5" t="s">
        <v>8</v>
      </c>
      <c r="H14" s="5" t="s">
        <v>8</v>
      </c>
      <c r="I14" s="5" t="s">
        <v>8</v>
      </c>
      <c r="J14" s="5"/>
      <c r="K14" s="5"/>
      <c r="L14" s="5"/>
      <c r="M14" s="5"/>
      <c r="N14" s="5"/>
      <c r="O14" s="5"/>
      <c r="P14" s="5"/>
      <c r="Q14" s="5"/>
      <c r="R14" s="5"/>
      <c r="S14" s="5"/>
      <c r="T14" s="5"/>
      <c r="U14" s="5"/>
      <c r="V14" s="5"/>
      <c r="W14" s="5"/>
      <c r="X14" s="5"/>
      <c r="Y14" s="5"/>
      <c r="Z14" s="5"/>
    </row>
    <row r="15" customFormat="false" ht="23.85" hidden="false" customHeight="false" outlineLevel="0" collapsed="false">
      <c r="A15" s="5" t="n">
        <v>14</v>
      </c>
      <c r="B15" s="5" t="s">
        <v>864</v>
      </c>
      <c r="C15" s="5" t="s">
        <v>8</v>
      </c>
      <c r="D15" s="5" t="s">
        <v>8</v>
      </c>
      <c r="E15" s="5" t="s">
        <v>8</v>
      </c>
      <c r="F15" s="5" t="s">
        <v>8</v>
      </c>
      <c r="G15" s="5" t="s">
        <v>8</v>
      </c>
      <c r="H15" s="5" t="s">
        <v>8</v>
      </c>
      <c r="I15" s="5" t="s">
        <v>8</v>
      </c>
      <c r="J15" s="5"/>
      <c r="K15" s="5"/>
      <c r="L15" s="5"/>
      <c r="M15" s="5"/>
      <c r="N15" s="5"/>
      <c r="O15" s="5"/>
      <c r="P15" s="5"/>
      <c r="Q15" s="5"/>
      <c r="R15" s="5"/>
      <c r="S15" s="5"/>
      <c r="T15" s="5"/>
      <c r="U15" s="5"/>
      <c r="V15" s="5"/>
      <c r="W15" s="5"/>
      <c r="X15" s="5"/>
      <c r="Y15" s="5"/>
      <c r="Z15" s="5"/>
    </row>
    <row r="16" customFormat="false" ht="23.85" hidden="false" customHeight="false" outlineLevel="0" collapsed="false">
      <c r="A16" s="5" t="n">
        <v>15</v>
      </c>
      <c r="B16" s="5" t="s">
        <v>88</v>
      </c>
      <c r="C16" s="5" t="s">
        <v>8</v>
      </c>
      <c r="D16" s="5" t="s">
        <v>8</v>
      </c>
      <c r="E16" s="5" t="s">
        <v>8</v>
      </c>
      <c r="F16" s="5" t="s">
        <v>8</v>
      </c>
      <c r="G16" s="5" t="s">
        <v>8</v>
      </c>
      <c r="H16" s="5" t="s">
        <v>8</v>
      </c>
      <c r="I16" s="5" t="s">
        <v>8</v>
      </c>
      <c r="J16" s="5"/>
      <c r="K16" s="5"/>
      <c r="L16" s="5"/>
      <c r="M16" s="5"/>
      <c r="N16" s="5"/>
      <c r="O16" s="5"/>
      <c r="P16" s="5"/>
      <c r="Q16" s="5"/>
      <c r="R16" s="5"/>
      <c r="S16" s="5"/>
      <c r="T16" s="5"/>
      <c r="U16" s="5"/>
      <c r="V16" s="5"/>
      <c r="W16" s="5"/>
      <c r="X16" s="5"/>
      <c r="Y16" s="5"/>
      <c r="Z16" s="5"/>
    </row>
    <row r="17" customFormat="false" ht="23.85" hidden="false" customHeight="false" outlineLevel="0" collapsed="false">
      <c r="A17" s="5" t="n">
        <v>16</v>
      </c>
      <c r="B17" s="5" t="s">
        <v>869</v>
      </c>
      <c r="C17" s="5" t="s">
        <v>8</v>
      </c>
      <c r="D17" s="5" t="s">
        <v>8</v>
      </c>
      <c r="E17" s="5" t="s">
        <v>8</v>
      </c>
      <c r="F17" s="5" t="s">
        <v>8</v>
      </c>
      <c r="G17" s="5" t="s">
        <v>8</v>
      </c>
      <c r="H17" s="5" t="s">
        <v>8</v>
      </c>
      <c r="I17" s="5" t="s">
        <v>8</v>
      </c>
      <c r="J17" s="5"/>
      <c r="K17" s="5"/>
      <c r="L17" s="5"/>
      <c r="M17" s="5"/>
      <c r="N17" s="5"/>
      <c r="O17" s="5"/>
      <c r="P17" s="5"/>
      <c r="Q17" s="5"/>
      <c r="R17" s="5"/>
      <c r="S17" s="5"/>
      <c r="T17" s="5"/>
      <c r="U17" s="5"/>
      <c r="V17" s="5"/>
      <c r="W17" s="5"/>
      <c r="X17" s="5"/>
      <c r="Y17" s="5"/>
      <c r="Z17" s="5"/>
    </row>
    <row r="18" customFormat="false" ht="23.85" hidden="false" customHeight="false" outlineLevel="0" collapsed="false">
      <c r="A18" s="5" t="n">
        <v>17</v>
      </c>
      <c r="B18" s="5" t="s">
        <v>94</v>
      </c>
      <c r="C18" s="5" t="s">
        <v>8</v>
      </c>
      <c r="D18" s="5" t="s">
        <v>8</v>
      </c>
      <c r="E18" s="5" t="s">
        <v>8</v>
      </c>
      <c r="F18" s="5" t="s">
        <v>8</v>
      </c>
      <c r="G18" s="5" t="s">
        <v>8</v>
      </c>
      <c r="H18" s="5" t="s">
        <v>8</v>
      </c>
      <c r="I18" s="5" t="s">
        <v>8</v>
      </c>
      <c r="J18" s="5"/>
      <c r="K18" s="5"/>
      <c r="L18" s="5"/>
      <c r="M18" s="5"/>
      <c r="N18" s="5"/>
      <c r="O18" s="5"/>
      <c r="P18" s="5"/>
      <c r="Q18" s="5"/>
      <c r="R18" s="5"/>
      <c r="S18" s="5"/>
      <c r="T18" s="5"/>
      <c r="U18" s="5"/>
      <c r="V18" s="5"/>
      <c r="W18" s="5"/>
      <c r="X18" s="5"/>
      <c r="Y18" s="5"/>
      <c r="Z18" s="5"/>
    </row>
    <row r="19" customFormat="false" ht="23.85" hidden="false" customHeight="false" outlineLevel="0" collapsed="false">
      <c r="A19" s="5" t="n">
        <v>18</v>
      </c>
      <c r="B19" s="5" t="s">
        <v>877</v>
      </c>
      <c r="C19" s="5" t="s">
        <v>8</v>
      </c>
      <c r="D19" s="5" t="s">
        <v>8</v>
      </c>
      <c r="E19" s="5" t="s">
        <v>8</v>
      </c>
      <c r="F19" s="5" t="s">
        <v>8</v>
      </c>
      <c r="G19" s="5" t="s">
        <v>8</v>
      </c>
      <c r="H19" s="5" t="s">
        <v>8</v>
      </c>
      <c r="I19" s="5" t="s">
        <v>8</v>
      </c>
      <c r="J19" s="5"/>
      <c r="K19" s="5"/>
      <c r="L19" s="5"/>
      <c r="M19" s="5"/>
      <c r="N19" s="5"/>
      <c r="O19" s="5"/>
      <c r="P19" s="5"/>
      <c r="Q19" s="5"/>
      <c r="R19" s="5"/>
      <c r="S19" s="5"/>
      <c r="T19" s="5"/>
      <c r="U19" s="5"/>
      <c r="V19" s="5"/>
      <c r="W19" s="5"/>
      <c r="X19" s="5"/>
      <c r="Y19" s="5"/>
      <c r="Z19" s="5"/>
    </row>
    <row r="20" customFormat="false" ht="23.85" hidden="false" customHeight="false" outlineLevel="0" collapsed="false">
      <c r="A20" s="5" t="n">
        <v>19</v>
      </c>
      <c r="B20" s="5" t="s">
        <v>882</v>
      </c>
      <c r="C20" s="5" t="s">
        <v>8</v>
      </c>
      <c r="D20" s="5" t="s">
        <v>8</v>
      </c>
      <c r="E20" s="5" t="s">
        <v>8</v>
      </c>
      <c r="F20" s="5" t="s">
        <v>8</v>
      </c>
      <c r="G20" s="5" t="s">
        <v>8</v>
      </c>
      <c r="H20" s="5" t="s">
        <v>8</v>
      </c>
      <c r="I20" s="5" t="s">
        <v>8</v>
      </c>
      <c r="J20" s="5"/>
      <c r="K20" s="5"/>
      <c r="L20" s="5"/>
      <c r="M20" s="5"/>
      <c r="N20" s="5"/>
      <c r="O20" s="5"/>
      <c r="P20" s="5"/>
      <c r="Q20" s="5"/>
      <c r="R20" s="5"/>
      <c r="S20" s="5"/>
      <c r="T20" s="5"/>
      <c r="U20" s="5"/>
      <c r="V20" s="5"/>
      <c r="W20" s="5"/>
      <c r="X20" s="5"/>
      <c r="Y20" s="5"/>
      <c r="Z20" s="5"/>
    </row>
    <row r="21" customFormat="false" ht="23.85" hidden="false" customHeight="false" outlineLevel="0" collapsed="false">
      <c r="A21" s="5" t="n">
        <v>20</v>
      </c>
      <c r="B21" s="5" t="s">
        <v>885</v>
      </c>
      <c r="C21" s="5" t="s">
        <v>8</v>
      </c>
      <c r="D21" s="5" t="s">
        <v>8</v>
      </c>
      <c r="E21" s="5" t="s">
        <v>8</v>
      </c>
      <c r="F21" s="5" t="s">
        <v>8</v>
      </c>
      <c r="G21" s="5" t="s">
        <v>8</v>
      </c>
      <c r="H21" s="5" t="s">
        <v>8</v>
      </c>
      <c r="I21" s="5" t="s">
        <v>8</v>
      </c>
      <c r="J21" s="5"/>
      <c r="K21" s="5"/>
      <c r="L21" s="5"/>
      <c r="M21" s="5"/>
      <c r="N21" s="5"/>
      <c r="O21" s="5"/>
      <c r="P21" s="5"/>
      <c r="Q21" s="5"/>
      <c r="R21" s="5"/>
      <c r="S21" s="5"/>
      <c r="T21" s="5"/>
      <c r="U21" s="5"/>
      <c r="V21" s="5"/>
      <c r="W21" s="5"/>
      <c r="X21" s="5"/>
      <c r="Y21" s="5"/>
      <c r="Z21" s="5"/>
    </row>
    <row r="22" customFormat="false" ht="15" hidden="false" customHeight="false" outlineLevel="0" collapsed="false">
      <c r="A22" s="5" t="n">
        <v>21</v>
      </c>
      <c r="B22" s="5" t="s">
        <v>102</v>
      </c>
      <c r="C22" s="5" t="s">
        <v>8</v>
      </c>
      <c r="D22" s="5" t="s">
        <v>8</v>
      </c>
      <c r="E22" s="5" t="s">
        <v>8</v>
      </c>
      <c r="F22" s="5" t="s">
        <v>8</v>
      </c>
      <c r="G22" s="5" t="s">
        <v>8</v>
      </c>
      <c r="H22" s="5" t="s">
        <v>8</v>
      </c>
      <c r="I22" s="5" t="s">
        <v>8</v>
      </c>
      <c r="J22" s="5"/>
      <c r="K22" s="5"/>
      <c r="L22" s="5"/>
      <c r="M22" s="5"/>
      <c r="N22" s="5"/>
      <c r="O22" s="5"/>
      <c r="P22" s="5"/>
      <c r="Q22" s="5"/>
      <c r="R22" s="5"/>
      <c r="S22" s="5"/>
      <c r="T22" s="5"/>
      <c r="U22" s="5"/>
      <c r="V22" s="5"/>
      <c r="W22" s="5"/>
      <c r="X22" s="5"/>
      <c r="Y22" s="5"/>
      <c r="Z22" s="5"/>
    </row>
    <row r="23" customFormat="false" ht="23.85" hidden="false" customHeight="false" outlineLevel="0" collapsed="false">
      <c r="A23" s="5" t="n">
        <v>22</v>
      </c>
      <c r="B23" s="5" t="s">
        <v>892</v>
      </c>
      <c r="C23" s="5" t="s">
        <v>8</v>
      </c>
      <c r="D23" s="5" t="s">
        <v>8</v>
      </c>
      <c r="E23" s="5" t="s">
        <v>8</v>
      </c>
      <c r="F23" s="5" t="s">
        <v>8</v>
      </c>
      <c r="G23" s="5" t="s">
        <v>8</v>
      </c>
      <c r="H23" s="5" t="s">
        <v>8</v>
      </c>
      <c r="I23" s="5" t="s">
        <v>8</v>
      </c>
      <c r="J23" s="5"/>
      <c r="K23" s="5"/>
      <c r="L23" s="5"/>
      <c r="M23" s="5"/>
      <c r="N23" s="5"/>
      <c r="O23" s="5"/>
      <c r="P23" s="5"/>
      <c r="Q23" s="5"/>
      <c r="R23" s="5"/>
      <c r="S23" s="5"/>
      <c r="T23" s="5"/>
      <c r="U23" s="5"/>
      <c r="V23" s="5"/>
      <c r="W23" s="5"/>
      <c r="X23" s="5"/>
      <c r="Y23" s="5"/>
      <c r="Z23" s="5"/>
    </row>
    <row r="24" customFormat="false" ht="23.85" hidden="false" customHeight="false" outlineLevel="0" collapsed="false">
      <c r="A24" s="5" t="n">
        <v>23</v>
      </c>
      <c r="B24" s="5" t="s">
        <v>896</v>
      </c>
      <c r="C24" s="5" t="s">
        <v>8</v>
      </c>
      <c r="D24" s="5" t="s">
        <v>8</v>
      </c>
      <c r="E24" s="5" t="s">
        <v>8</v>
      </c>
      <c r="F24" s="5" t="s">
        <v>8</v>
      </c>
      <c r="G24" s="5" t="s">
        <v>8</v>
      </c>
      <c r="H24" s="5" t="s">
        <v>8</v>
      </c>
      <c r="I24" s="5" t="s">
        <v>8</v>
      </c>
      <c r="J24" s="5"/>
      <c r="K24" s="5"/>
      <c r="L24" s="5"/>
      <c r="M24" s="5"/>
      <c r="N24" s="5"/>
      <c r="O24" s="5"/>
      <c r="P24" s="5"/>
      <c r="Q24" s="5"/>
      <c r="R24" s="5"/>
      <c r="S24" s="5"/>
      <c r="T24" s="5"/>
      <c r="U24" s="5"/>
      <c r="V24" s="5"/>
      <c r="W24" s="5"/>
      <c r="X24" s="5"/>
      <c r="Y24" s="5"/>
      <c r="Z24" s="5"/>
    </row>
    <row r="25" customFormat="false" ht="23.85" hidden="false" customHeight="false" outlineLevel="0" collapsed="false">
      <c r="A25" s="5" t="n">
        <v>24</v>
      </c>
      <c r="B25" s="5" t="s">
        <v>899</v>
      </c>
      <c r="C25" s="5" t="s">
        <v>1460</v>
      </c>
      <c r="D25" s="5" t="s">
        <v>8</v>
      </c>
      <c r="E25" s="5" t="s">
        <v>8</v>
      </c>
      <c r="F25" s="5" t="s">
        <v>8</v>
      </c>
      <c r="G25" s="5" t="s">
        <v>8</v>
      </c>
      <c r="H25" s="5" t="s">
        <v>8</v>
      </c>
      <c r="I25" s="5" t="s">
        <v>8</v>
      </c>
      <c r="J25" s="5"/>
      <c r="K25" s="5"/>
      <c r="L25" s="5"/>
      <c r="M25" s="5"/>
      <c r="N25" s="5"/>
      <c r="O25" s="5"/>
      <c r="P25" s="5"/>
      <c r="Q25" s="5"/>
      <c r="R25" s="5"/>
      <c r="S25" s="5"/>
      <c r="T25" s="5"/>
      <c r="U25" s="5"/>
      <c r="V25" s="5"/>
      <c r="W25" s="5"/>
      <c r="X25" s="5"/>
      <c r="Y25" s="5"/>
      <c r="Z25" s="5"/>
    </row>
    <row r="26" customFormat="false" ht="23.85" hidden="false" customHeight="false" outlineLevel="0" collapsed="false">
      <c r="A26" s="5" t="n">
        <v>25</v>
      </c>
      <c r="B26" s="5" t="s">
        <v>902</v>
      </c>
      <c r="C26" s="5" t="s">
        <v>8</v>
      </c>
      <c r="D26" s="5" t="s">
        <v>8</v>
      </c>
      <c r="E26" s="5" t="s">
        <v>8</v>
      </c>
      <c r="F26" s="5" t="s">
        <v>8</v>
      </c>
      <c r="G26" s="5" t="s">
        <v>8</v>
      </c>
      <c r="H26" s="5" t="s">
        <v>8</v>
      </c>
      <c r="I26" s="5" t="s">
        <v>8</v>
      </c>
      <c r="J26" s="5"/>
      <c r="K26" s="5"/>
      <c r="L26" s="5"/>
      <c r="M26" s="5"/>
      <c r="N26" s="5"/>
      <c r="O26" s="5"/>
      <c r="P26" s="5"/>
      <c r="Q26" s="5"/>
      <c r="R26" s="5"/>
      <c r="S26" s="5"/>
      <c r="T26" s="5"/>
      <c r="U26" s="5"/>
      <c r="V26" s="5"/>
      <c r="W26" s="5"/>
      <c r="X26" s="5"/>
      <c r="Y26" s="5"/>
      <c r="Z26" s="5"/>
    </row>
    <row r="27" customFormat="false" ht="23.85" hidden="false" customHeight="false" outlineLevel="0" collapsed="false">
      <c r="A27" s="5" t="n">
        <v>26</v>
      </c>
      <c r="B27" s="5" t="s">
        <v>906</v>
      </c>
      <c r="C27" s="5" t="s">
        <v>8</v>
      </c>
      <c r="D27" s="5" t="s">
        <v>8</v>
      </c>
      <c r="E27" s="5" t="s">
        <v>8</v>
      </c>
      <c r="F27" s="5" t="s">
        <v>8</v>
      </c>
      <c r="G27" s="5" t="s">
        <v>8</v>
      </c>
      <c r="H27" s="5" t="s">
        <v>8</v>
      </c>
      <c r="I27" s="5" t="s">
        <v>8</v>
      </c>
      <c r="J27" s="5"/>
      <c r="K27" s="5"/>
      <c r="L27" s="5"/>
      <c r="M27" s="5"/>
      <c r="N27" s="5"/>
      <c r="O27" s="5"/>
      <c r="P27" s="5"/>
      <c r="Q27" s="5"/>
      <c r="R27" s="5"/>
      <c r="S27" s="5"/>
      <c r="T27" s="5"/>
      <c r="U27" s="5"/>
      <c r="V27" s="5"/>
      <c r="W27" s="5"/>
      <c r="X27" s="5"/>
      <c r="Y27" s="5"/>
      <c r="Z27" s="5"/>
    </row>
    <row r="28" customFormat="false" ht="23.85" hidden="false" customHeight="false" outlineLevel="0" collapsed="false">
      <c r="A28" s="5" t="n">
        <v>27</v>
      </c>
      <c r="B28" s="5" t="s">
        <v>115</v>
      </c>
      <c r="C28" s="5" t="s">
        <v>8</v>
      </c>
      <c r="D28" s="5" t="s">
        <v>8</v>
      </c>
      <c r="E28" s="5" t="s">
        <v>8</v>
      </c>
      <c r="F28" s="5" t="s">
        <v>8</v>
      </c>
      <c r="G28" s="5" t="s">
        <v>8</v>
      </c>
      <c r="H28" s="5" t="s">
        <v>8</v>
      </c>
      <c r="I28" s="5" t="s">
        <v>8</v>
      </c>
      <c r="J28" s="5"/>
      <c r="K28" s="5"/>
      <c r="L28" s="5"/>
      <c r="M28" s="5"/>
      <c r="N28" s="5"/>
      <c r="O28" s="5"/>
      <c r="P28" s="5"/>
      <c r="Q28" s="5"/>
      <c r="R28" s="5"/>
      <c r="S28" s="5"/>
      <c r="T28" s="5"/>
      <c r="U28" s="5"/>
      <c r="V28" s="5"/>
      <c r="W28" s="5"/>
      <c r="X28" s="5"/>
      <c r="Y28" s="5"/>
      <c r="Z28" s="5"/>
    </row>
    <row r="29" customFormat="false" ht="23.85" hidden="false" customHeight="false" outlineLevel="0" collapsed="false">
      <c r="A29" s="5" t="n">
        <v>28</v>
      </c>
      <c r="B29" s="5" t="s">
        <v>914</v>
      </c>
      <c r="C29" s="5" t="s">
        <v>8</v>
      </c>
      <c r="D29" s="5" t="s">
        <v>8</v>
      </c>
      <c r="E29" s="5" t="s">
        <v>8</v>
      </c>
      <c r="F29" s="5" t="s">
        <v>8</v>
      </c>
      <c r="G29" s="5" t="s">
        <v>8</v>
      </c>
      <c r="H29" s="5" t="s">
        <v>8</v>
      </c>
      <c r="I29" s="5" t="s">
        <v>8</v>
      </c>
      <c r="J29" s="5"/>
      <c r="K29" s="5"/>
      <c r="L29" s="5"/>
      <c r="M29" s="5"/>
      <c r="N29" s="5"/>
      <c r="O29" s="5"/>
      <c r="P29" s="5"/>
      <c r="Q29" s="5"/>
      <c r="R29" s="5"/>
      <c r="S29" s="5"/>
      <c r="T29" s="5"/>
      <c r="U29" s="5"/>
      <c r="V29" s="5"/>
      <c r="W29" s="5"/>
      <c r="X29" s="5"/>
      <c r="Y29" s="5"/>
      <c r="Z29" s="5"/>
    </row>
    <row r="30" customFormat="false" ht="23.85" hidden="false" customHeight="false" outlineLevel="0" collapsed="false">
      <c r="A30" s="5" t="n">
        <v>29</v>
      </c>
      <c r="B30" s="5" t="s">
        <v>917</v>
      </c>
      <c r="C30" s="5" t="s">
        <v>8</v>
      </c>
      <c r="D30" s="5" t="s">
        <v>8</v>
      </c>
      <c r="E30" s="5" t="s">
        <v>8</v>
      </c>
      <c r="F30" s="5" t="s">
        <v>8</v>
      </c>
      <c r="G30" s="5" t="s">
        <v>8</v>
      </c>
      <c r="H30" s="5" t="s">
        <v>8</v>
      </c>
      <c r="I30" s="5" t="s">
        <v>8</v>
      </c>
      <c r="J30" s="5"/>
      <c r="K30" s="5"/>
      <c r="L30" s="5"/>
      <c r="M30" s="5"/>
      <c r="N30" s="5"/>
      <c r="O30" s="5"/>
      <c r="P30" s="5"/>
      <c r="Q30" s="5"/>
      <c r="R30" s="5"/>
      <c r="S30" s="5"/>
      <c r="T30" s="5"/>
      <c r="U30" s="5"/>
      <c r="V30" s="5"/>
      <c r="W30" s="5"/>
      <c r="X30" s="5"/>
      <c r="Y30" s="5"/>
      <c r="Z30" s="5"/>
    </row>
    <row r="31" customFormat="false" ht="23.85" hidden="false" customHeight="false" outlineLevel="0" collapsed="false">
      <c r="A31" s="5" t="n">
        <v>30</v>
      </c>
      <c r="B31" s="5" t="s">
        <v>921</v>
      </c>
      <c r="C31" s="5" t="s">
        <v>8</v>
      </c>
      <c r="D31" s="5" t="s">
        <v>8</v>
      </c>
      <c r="E31" s="5" t="s">
        <v>8</v>
      </c>
      <c r="F31" s="5" t="s">
        <v>8</v>
      </c>
      <c r="G31" s="5" t="s">
        <v>8</v>
      </c>
      <c r="H31" s="5" t="s">
        <v>8</v>
      </c>
      <c r="I31" s="5" t="s">
        <v>8</v>
      </c>
      <c r="J31" s="5"/>
      <c r="K31" s="5"/>
      <c r="L31" s="5"/>
      <c r="M31" s="5"/>
      <c r="N31" s="5"/>
      <c r="O31" s="5"/>
      <c r="P31" s="5"/>
      <c r="Q31" s="5"/>
      <c r="R31" s="5"/>
      <c r="S31" s="5"/>
      <c r="T31" s="5"/>
      <c r="U31" s="5"/>
      <c r="V31" s="5"/>
      <c r="W31" s="5"/>
      <c r="X31" s="5"/>
      <c r="Y31" s="5"/>
      <c r="Z31" s="5"/>
    </row>
    <row r="32" customFormat="false" ht="23.85" hidden="false" customHeight="false" outlineLevel="0" collapsed="false">
      <c r="A32" s="5" t="n">
        <v>31</v>
      </c>
      <c r="B32" s="5" t="s">
        <v>924</v>
      </c>
      <c r="C32" s="5" t="s">
        <v>8</v>
      </c>
      <c r="D32" s="5" t="s">
        <v>8</v>
      </c>
      <c r="E32" s="5" t="s">
        <v>8</v>
      </c>
      <c r="F32" s="5" t="s">
        <v>8</v>
      </c>
      <c r="G32" s="5" t="s">
        <v>8</v>
      </c>
      <c r="H32" s="5" t="s">
        <v>8</v>
      </c>
      <c r="I32" s="5" t="s">
        <v>8</v>
      </c>
      <c r="J32" s="5"/>
      <c r="K32" s="5"/>
      <c r="L32" s="5"/>
      <c r="M32" s="5"/>
      <c r="N32" s="5"/>
      <c r="O32" s="5"/>
      <c r="P32" s="5"/>
      <c r="Q32" s="5"/>
      <c r="R32" s="5"/>
      <c r="S32" s="5"/>
      <c r="T32" s="5"/>
      <c r="U32" s="5"/>
      <c r="V32" s="5"/>
      <c r="W32" s="5"/>
      <c r="X32" s="5"/>
      <c r="Y32" s="5"/>
      <c r="Z32" s="5"/>
    </row>
    <row r="33" customFormat="false" ht="23.85" hidden="false" customHeight="false" outlineLevel="0" collapsed="false">
      <c r="A33" s="5" t="n">
        <v>32</v>
      </c>
      <c r="B33" s="5" t="s">
        <v>928</v>
      </c>
      <c r="C33" s="5" t="s">
        <v>8</v>
      </c>
      <c r="D33" s="5" t="s">
        <v>8</v>
      </c>
      <c r="E33" s="5" t="s">
        <v>8</v>
      </c>
      <c r="F33" s="5" t="s">
        <v>8</v>
      </c>
      <c r="G33" s="5" t="s">
        <v>8</v>
      </c>
      <c r="H33" s="5" t="s">
        <v>8</v>
      </c>
      <c r="I33" s="5" t="s">
        <v>8</v>
      </c>
      <c r="J33" s="5"/>
      <c r="K33" s="5"/>
      <c r="L33" s="5"/>
      <c r="M33" s="5"/>
      <c r="N33" s="5"/>
      <c r="O33" s="5"/>
      <c r="P33" s="5"/>
      <c r="Q33" s="5"/>
      <c r="R33" s="5"/>
      <c r="S33" s="5"/>
      <c r="T33" s="5"/>
      <c r="U33" s="5"/>
      <c r="V33" s="5"/>
      <c r="W33" s="5"/>
      <c r="X33" s="5"/>
      <c r="Y33" s="5"/>
      <c r="Z33" s="5"/>
    </row>
    <row r="34" customFormat="false" ht="23.85" hidden="false" customHeight="false" outlineLevel="0" collapsed="false">
      <c r="A34" s="5" t="n">
        <v>33</v>
      </c>
      <c r="B34" s="5" t="s">
        <v>932</v>
      </c>
      <c r="C34" s="5" t="s">
        <v>8</v>
      </c>
      <c r="D34" s="5" t="s">
        <v>8</v>
      </c>
      <c r="E34" s="5" t="s">
        <v>8</v>
      </c>
      <c r="F34" s="5" t="s">
        <v>8</v>
      </c>
      <c r="G34" s="5" t="s">
        <v>8</v>
      </c>
      <c r="H34" s="5" t="s">
        <v>8</v>
      </c>
      <c r="I34" s="5" t="s">
        <v>8</v>
      </c>
      <c r="J34" s="5"/>
      <c r="K34" s="5"/>
      <c r="L34" s="5"/>
      <c r="M34" s="5"/>
      <c r="N34" s="5"/>
      <c r="O34" s="5"/>
      <c r="P34" s="5"/>
      <c r="Q34" s="5"/>
      <c r="R34" s="5"/>
      <c r="S34" s="5"/>
      <c r="T34" s="5"/>
      <c r="U34" s="5"/>
      <c r="V34" s="5"/>
      <c r="W34" s="5"/>
      <c r="X34" s="5"/>
      <c r="Y34" s="5"/>
      <c r="Z34" s="5"/>
    </row>
    <row r="35" customFormat="false" ht="23.85" hidden="false" customHeight="false" outlineLevel="0" collapsed="false">
      <c r="A35" s="5" t="n">
        <v>34</v>
      </c>
      <c r="B35" s="5" t="s">
        <v>935</v>
      </c>
      <c r="C35" s="5" t="s">
        <v>8</v>
      </c>
      <c r="D35" s="5" t="s">
        <v>8</v>
      </c>
      <c r="E35" s="5" t="s">
        <v>8</v>
      </c>
      <c r="F35" s="5" t="s">
        <v>8</v>
      </c>
      <c r="G35" s="5" t="s">
        <v>8</v>
      </c>
      <c r="H35" s="5" t="s">
        <v>8</v>
      </c>
      <c r="I35" s="5" t="s">
        <v>8</v>
      </c>
      <c r="J35" s="5"/>
      <c r="K35" s="5"/>
      <c r="L35" s="5"/>
      <c r="M35" s="5"/>
      <c r="N35" s="5"/>
      <c r="O35" s="5"/>
      <c r="P35" s="5"/>
      <c r="Q35" s="5"/>
      <c r="R35" s="5"/>
      <c r="S35" s="5"/>
      <c r="T35" s="5"/>
      <c r="U35" s="5"/>
      <c r="V35" s="5"/>
      <c r="W35" s="5"/>
      <c r="X35" s="5"/>
      <c r="Y35" s="5"/>
      <c r="Z35" s="5"/>
    </row>
    <row r="36" customFormat="false" ht="15" hidden="false" customHeight="false" outlineLevel="0" collapsed="false">
      <c r="A36" s="5" t="n">
        <v>35</v>
      </c>
      <c r="B36" s="5" t="s">
        <v>132</v>
      </c>
      <c r="C36" s="5" t="s">
        <v>8</v>
      </c>
      <c r="D36" s="5" t="s">
        <v>8</v>
      </c>
      <c r="E36" s="5" t="s">
        <v>8</v>
      </c>
      <c r="F36" s="5" t="s">
        <v>8</v>
      </c>
      <c r="G36" s="5" t="s">
        <v>8</v>
      </c>
      <c r="H36" s="5" t="s">
        <v>8</v>
      </c>
      <c r="I36" s="5" t="s">
        <v>8</v>
      </c>
      <c r="J36" s="5"/>
      <c r="K36" s="5"/>
      <c r="L36" s="5"/>
      <c r="M36" s="5"/>
      <c r="N36" s="5"/>
      <c r="O36" s="5"/>
      <c r="P36" s="5"/>
      <c r="Q36" s="5"/>
      <c r="R36" s="5"/>
      <c r="S36" s="5"/>
      <c r="T36" s="5"/>
      <c r="U36" s="5"/>
      <c r="V36" s="5"/>
      <c r="W36" s="5"/>
      <c r="X36" s="5"/>
      <c r="Y36" s="5"/>
      <c r="Z36" s="5"/>
    </row>
    <row r="37" customFormat="false" ht="23.85" hidden="false" customHeight="false" outlineLevel="0" collapsed="false">
      <c r="A37" s="5" t="n">
        <v>36</v>
      </c>
      <c r="B37" s="5" t="s">
        <v>134</v>
      </c>
      <c r="C37" s="5" t="s">
        <v>8</v>
      </c>
      <c r="D37" s="5" t="s">
        <v>8</v>
      </c>
      <c r="E37" s="5" t="s">
        <v>8</v>
      </c>
      <c r="F37" s="5" t="s">
        <v>8</v>
      </c>
      <c r="G37" s="5" t="s">
        <v>8</v>
      </c>
      <c r="H37" s="5" t="s">
        <v>8</v>
      </c>
      <c r="I37" s="5" t="s">
        <v>8</v>
      </c>
      <c r="J37" s="5"/>
      <c r="K37" s="5"/>
      <c r="L37" s="5"/>
      <c r="M37" s="5"/>
      <c r="N37" s="5"/>
      <c r="O37" s="5"/>
      <c r="P37" s="5"/>
      <c r="Q37" s="5"/>
      <c r="R37" s="5"/>
      <c r="S37" s="5"/>
      <c r="T37" s="5"/>
      <c r="U37" s="5"/>
      <c r="V37" s="5"/>
      <c r="W37" s="5"/>
      <c r="X37" s="5"/>
      <c r="Y37" s="5"/>
      <c r="Z37" s="5"/>
    </row>
    <row r="38" customFormat="false" ht="23.85" hidden="false" customHeight="false" outlineLevel="0" collapsed="false">
      <c r="A38" s="5" t="n">
        <v>37</v>
      </c>
      <c r="B38" s="5" t="s">
        <v>944</v>
      </c>
      <c r="C38" s="5" t="s">
        <v>8</v>
      </c>
      <c r="D38" s="5" t="s">
        <v>8</v>
      </c>
      <c r="E38" s="5" t="s">
        <v>8</v>
      </c>
      <c r="F38" s="5" t="s">
        <v>8</v>
      </c>
      <c r="G38" s="5" t="s">
        <v>8</v>
      </c>
      <c r="H38" s="5" t="s">
        <v>8</v>
      </c>
      <c r="I38" s="5" t="s">
        <v>8</v>
      </c>
      <c r="J38" s="5"/>
      <c r="K38" s="5"/>
      <c r="L38" s="5"/>
      <c r="M38" s="5"/>
      <c r="N38" s="5"/>
      <c r="O38" s="5"/>
      <c r="P38" s="5"/>
      <c r="Q38" s="5"/>
      <c r="R38" s="5"/>
      <c r="S38" s="5"/>
      <c r="T38" s="5"/>
      <c r="U38" s="5"/>
      <c r="V38" s="5"/>
      <c r="W38" s="5"/>
      <c r="X38" s="5"/>
      <c r="Y38" s="5"/>
      <c r="Z38" s="5"/>
    </row>
    <row r="39" customFormat="false" ht="23.85" hidden="false" customHeight="false" outlineLevel="0" collapsed="false">
      <c r="A39" s="5" t="n">
        <v>38</v>
      </c>
      <c r="B39" s="5" t="s">
        <v>947</v>
      </c>
      <c r="C39" s="5" t="s">
        <v>8</v>
      </c>
      <c r="D39" s="5" t="s">
        <v>8</v>
      </c>
      <c r="E39" s="5" t="s">
        <v>8</v>
      </c>
      <c r="F39" s="5" t="s">
        <v>8</v>
      </c>
      <c r="G39" s="5" t="s">
        <v>8</v>
      </c>
      <c r="H39" s="5" t="s">
        <v>8</v>
      </c>
      <c r="I39" s="5" t="s">
        <v>8</v>
      </c>
      <c r="J39" s="5"/>
      <c r="K39" s="5"/>
      <c r="L39" s="5"/>
      <c r="M39" s="5"/>
      <c r="N39" s="5"/>
      <c r="O39" s="5"/>
      <c r="P39" s="5"/>
      <c r="Q39" s="5"/>
      <c r="R39" s="5"/>
      <c r="S39" s="5"/>
      <c r="T39" s="5"/>
      <c r="U39" s="5"/>
      <c r="V39" s="5"/>
      <c r="W39" s="5"/>
      <c r="X39" s="5"/>
      <c r="Y39" s="5"/>
      <c r="Z39" s="5"/>
    </row>
    <row r="40" customFormat="false" ht="23.85" hidden="false" customHeight="false" outlineLevel="0" collapsed="false">
      <c r="A40" s="5" t="n">
        <v>39</v>
      </c>
      <c r="B40" s="5" t="s">
        <v>949</v>
      </c>
      <c r="C40" s="5" t="s">
        <v>8</v>
      </c>
      <c r="D40" s="5" t="s">
        <v>8</v>
      </c>
      <c r="E40" s="5" t="s">
        <v>8</v>
      </c>
      <c r="F40" s="5" t="s">
        <v>8</v>
      </c>
      <c r="G40" s="5" t="s">
        <v>8</v>
      </c>
      <c r="H40" s="5" t="s">
        <v>8</v>
      </c>
      <c r="I40" s="5" t="s">
        <v>8</v>
      </c>
      <c r="J40" s="5"/>
      <c r="K40" s="5"/>
      <c r="L40" s="5"/>
      <c r="M40" s="5"/>
      <c r="N40" s="5"/>
      <c r="O40" s="5"/>
      <c r="P40" s="5"/>
      <c r="Q40" s="5"/>
      <c r="R40" s="5"/>
      <c r="S40" s="5"/>
      <c r="T40" s="5"/>
      <c r="U40" s="5"/>
      <c r="V40" s="5"/>
      <c r="W40" s="5"/>
      <c r="X40" s="5"/>
      <c r="Y40" s="5"/>
      <c r="Z40" s="5"/>
    </row>
    <row r="41" customFormat="false" ht="23.85" hidden="false" customHeight="false" outlineLevel="0" collapsed="false">
      <c r="A41" s="5" t="n">
        <v>40</v>
      </c>
      <c r="B41" s="5" t="s">
        <v>952</v>
      </c>
      <c r="C41" s="5" t="s">
        <v>8</v>
      </c>
      <c r="D41" s="5" t="s">
        <v>8</v>
      </c>
      <c r="E41" s="5" t="s">
        <v>8</v>
      </c>
      <c r="F41" s="5" t="s">
        <v>8</v>
      </c>
      <c r="G41" s="5" t="s">
        <v>8</v>
      </c>
      <c r="H41" s="5" t="s">
        <v>8</v>
      </c>
      <c r="I41" s="5" t="s">
        <v>8</v>
      </c>
      <c r="J41" s="5"/>
      <c r="K41" s="5"/>
      <c r="L41" s="5"/>
      <c r="M41" s="5"/>
      <c r="N41" s="5"/>
      <c r="O41" s="5"/>
      <c r="P41" s="5"/>
      <c r="Q41" s="5"/>
      <c r="R41" s="5"/>
      <c r="S41" s="5"/>
      <c r="T41" s="5"/>
      <c r="U41" s="5"/>
      <c r="V41" s="5"/>
      <c r="W41" s="5"/>
      <c r="X41" s="5"/>
      <c r="Y41" s="5"/>
      <c r="Z41" s="5"/>
    </row>
    <row r="42" customFormat="false" ht="23.85" hidden="false" customHeight="false" outlineLevel="0" collapsed="false">
      <c r="A42" s="5" t="n">
        <v>41</v>
      </c>
      <c r="B42" s="5" t="s">
        <v>956</v>
      </c>
      <c r="C42" s="5" t="s">
        <v>8</v>
      </c>
      <c r="D42" s="5" t="s">
        <v>8</v>
      </c>
      <c r="E42" s="5" t="s">
        <v>8</v>
      </c>
      <c r="F42" s="5" t="s">
        <v>8</v>
      </c>
      <c r="G42" s="5" t="s">
        <v>8</v>
      </c>
      <c r="H42" s="5" t="s">
        <v>8</v>
      </c>
      <c r="I42" s="5" t="s">
        <v>8</v>
      </c>
      <c r="J42" s="5"/>
      <c r="K42" s="5"/>
      <c r="L42" s="5"/>
      <c r="M42" s="5"/>
      <c r="N42" s="5"/>
      <c r="O42" s="5"/>
      <c r="P42" s="5"/>
      <c r="Q42" s="5"/>
      <c r="R42" s="5"/>
      <c r="S42" s="5"/>
      <c r="T42" s="5"/>
      <c r="U42" s="5"/>
      <c r="V42" s="5"/>
      <c r="W42" s="5"/>
      <c r="X42" s="5"/>
      <c r="Y42" s="5"/>
      <c r="Z42" s="5"/>
    </row>
    <row r="43" customFormat="false" ht="23.85" hidden="false" customHeight="false" outlineLevel="0" collapsed="false">
      <c r="A43" s="5" t="n">
        <v>42</v>
      </c>
      <c r="B43" s="5" t="s">
        <v>959</v>
      </c>
      <c r="C43" s="5" t="s">
        <v>8</v>
      </c>
      <c r="D43" s="5" t="s">
        <v>8</v>
      </c>
      <c r="E43" s="5" t="s">
        <v>8</v>
      </c>
      <c r="F43" s="5" t="s">
        <v>8</v>
      </c>
      <c r="G43" s="5" t="s">
        <v>8</v>
      </c>
      <c r="H43" s="5" t="s">
        <v>8</v>
      </c>
      <c r="I43" s="5" t="s">
        <v>8</v>
      </c>
      <c r="J43" s="5"/>
      <c r="K43" s="5"/>
      <c r="L43" s="5"/>
      <c r="M43" s="5"/>
      <c r="N43" s="5"/>
      <c r="O43" s="5"/>
      <c r="P43" s="5"/>
      <c r="Q43" s="5"/>
      <c r="R43" s="5"/>
      <c r="S43" s="5"/>
      <c r="T43" s="5"/>
      <c r="U43" s="5"/>
      <c r="V43" s="5"/>
      <c r="W43" s="5"/>
      <c r="X43" s="5"/>
      <c r="Y43" s="5"/>
      <c r="Z43" s="5"/>
    </row>
    <row r="44" customFormat="false" ht="23.85" hidden="false" customHeight="false" outlineLevel="0" collapsed="false">
      <c r="A44" s="5" t="n">
        <v>43</v>
      </c>
      <c r="B44" s="5" t="s">
        <v>962</v>
      </c>
      <c r="C44" s="5" t="s">
        <v>8</v>
      </c>
      <c r="D44" s="5" t="s">
        <v>8</v>
      </c>
      <c r="E44" s="5" t="s">
        <v>8</v>
      </c>
      <c r="F44" s="5" t="s">
        <v>8</v>
      </c>
      <c r="G44" s="5" t="s">
        <v>8</v>
      </c>
      <c r="H44" s="5" t="s">
        <v>8</v>
      </c>
      <c r="I44" s="5" t="s">
        <v>8</v>
      </c>
      <c r="J44" s="5"/>
      <c r="K44" s="5"/>
      <c r="L44" s="5"/>
      <c r="M44" s="5"/>
      <c r="N44" s="5"/>
      <c r="O44" s="5"/>
      <c r="P44" s="5"/>
      <c r="Q44" s="5"/>
      <c r="R44" s="5"/>
      <c r="S44" s="5"/>
      <c r="T44" s="5"/>
      <c r="U44" s="5"/>
      <c r="V44" s="5"/>
      <c r="W44" s="5"/>
      <c r="X44" s="5"/>
      <c r="Y44" s="5"/>
      <c r="Z44" s="5"/>
    </row>
    <row r="45" customFormat="false" ht="23.85" hidden="false" customHeight="false" outlineLevel="0" collapsed="false">
      <c r="A45" s="5" t="n">
        <v>44</v>
      </c>
      <c r="B45" s="5" t="s">
        <v>965</v>
      </c>
      <c r="C45" s="5" t="s">
        <v>8</v>
      </c>
      <c r="D45" s="5" t="s">
        <v>8</v>
      </c>
      <c r="E45" s="5" t="s">
        <v>8</v>
      </c>
      <c r="F45" s="5" t="s">
        <v>8</v>
      </c>
      <c r="G45" s="5" t="s">
        <v>8</v>
      </c>
      <c r="H45" s="5" t="s">
        <v>8</v>
      </c>
      <c r="I45" s="5" t="s">
        <v>8</v>
      </c>
      <c r="J45" s="5"/>
      <c r="K45" s="5"/>
      <c r="L45" s="5"/>
      <c r="M45" s="5"/>
      <c r="N45" s="5"/>
      <c r="O45" s="5"/>
      <c r="P45" s="5"/>
      <c r="Q45" s="5"/>
      <c r="R45" s="5"/>
      <c r="S45" s="5"/>
      <c r="T45" s="5"/>
      <c r="U45" s="5"/>
      <c r="V45" s="5"/>
      <c r="W45" s="5"/>
      <c r="X45" s="5"/>
      <c r="Y45" s="5"/>
      <c r="Z45" s="5"/>
    </row>
    <row r="46" customFormat="false" ht="23.85" hidden="false" customHeight="false" outlineLevel="0" collapsed="false">
      <c r="A46" s="5" t="n">
        <v>45</v>
      </c>
      <c r="B46" s="5" t="s">
        <v>968</v>
      </c>
      <c r="C46" s="5" t="s">
        <v>8</v>
      </c>
      <c r="D46" s="5" t="s">
        <v>8</v>
      </c>
      <c r="E46" s="5" t="s">
        <v>8</v>
      </c>
      <c r="F46" s="5" t="s">
        <v>8</v>
      </c>
      <c r="G46" s="5" t="s">
        <v>8</v>
      </c>
      <c r="H46" s="5" t="s">
        <v>8</v>
      </c>
      <c r="I46" s="5" t="s">
        <v>8</v>
      </c>
      <c r="J46" s="5"/>
      <c r="K46" s="5"/>
      <c r="L46" s="5"/>
      <c r="M46" s="5"/>
      <c r="N46" s="5"/>
      <c r="O46" s="5"/>
      <c r="P46" s="5"/>
      <c r="Q46" s="5"/>
      <c r="R46" s="5"/>
      <c r="S46" s="5"/>
      <c r="T46" s="5"/>
      <c r="U46" s="5"/>
      <c r="V46" s="5"/>
      <c r="W46" s="5"/>
      <c r="X46" s="5"/>
      <c r="Y46" s="5"/>
      <c r="Z46" s="5"/>
    </row>
    <row r="47" customFormat="false" ht="23.85" hidden="false" customHeight="false" outlineLevel="0" collapsed="false">
      <c r="A47" s="5" t="n">
        <v>46</v>
      </c>
      <c r="B47" s="5" t="s">
        <v>970</v>
      </c>
      <c r="C47" s="5" t="s">
        <v>8</v>
      </c>
      <c r="D47" s="5" t="s">
        <v>8</v>
      </c>
      <c r="E47" s="5" t="s">
        <v>8</v>
      </c>
      <c r="F47" s="5" t="s">
        <v>8</v>
      </c>
      <c r="G47" s="5" t="s">
        <v>8</v>
      </c>
      <c r="H47" s="5" t="s">
        <v>8</v>
      </c>
      <c r="I47" s="5" t="s">
        <v>8</v>
      </c>
      <c r="J47" s="5"/>
      <c r="K47" s="5"/>
      <c r="L47" s="5"/>
      <c r="M47" s="5"/>
      <c r="N47" s="5"/>
      <c r="O47" s="5"/>
      <c r="P47" s="5"/>
      <c r="Q47" s="5"/>
      <c r="R47" s="5"/>
      <c r="S47" s="5"/>
      <c r="T47" s="5"/>
      <c r="U47" s="5"/>
      <c r="V47" s="5"/>
      <c r="W47" s="5"/>
      <c r="X47" s="5"/>
      <c r="Y47" s="5"/>
      <c r="Z47" s="5"/>
    </row>
    <row r="48" customFormat="false" ht="23.85" hidden="false" customHeight="false" outlineLevel="0" collapsed="false">
      <c r="A48" s="5" t="n">
        <v>47</v>
      </c>
      <c r="B48" s="5" t="s">
        <v>973</v>
      </c>
      <c r="C48" s="5" t="s">
        <v>8</v>
      </c>
      <c r="D48" s="5" t="s">
        <v>8</v>
      </c>
      <c r="E48" s="5" t="s">
        <v>8</v>
      </c>
      <c r="F48" s="5" t="s">
        <v>8</v>
      </c>
      <c r="G48" s="5" t="s">
        <v>8</v>
      </c>
      <c r="H48" s="5" t="s">
        <v>8</v>
      </c>
      <c r="I48" s="5" t="s">
        <v>8</v>
      </c>
      <c r="J48" s="5"/>
      <c r="K48" s="5"/>
      <c r="L48" s="5"/>
      <c r="M48" s="5"/>
      <c r="N48" s="5"/>
      <c r="O48" s="5"/>
      <c r="P48" s="5"/>
      <c r="Q48" s="5"/>
      <c r="R48" s="5"/>
      <c r="S48" s="5"/>
      <c r="T48" s="5"/>
      <c r="U48" s="5"/>
      <c r="V48" s="5"/>
      <c r="W48" s="5"/>
      <c r="X48" s="5"/>
      <c r="Y48" s="5"/>
      <c r="Z48" s="5"/>
    </row>
    <row r="49" customFormat="false" ht="23.85" hidden="false" customHeight="false" outlineLevel="0" collapsed="false">
      <c r="A49" s="5" t="n">
        <v>48</v>
      </c>
      <c r="B49" s="5" t="s">
        <v>976</v>
      </c>
      <c r="C49" s="5" t="s">
        <v>8</v>
      </c>
      <c r="D49" s="5" t="s">
        <v>8</v>
      </c>
      <c r="E49" s="5" t="s">
        <v>8</v>
      </c>
      <c r="F49" s="5" t="s">
        <v>8</v>
      </c>
      <c r="G49" s="5" t="s">
        <v>8</v>
      </c>
      <c r="H49" s="5" t="s">
        <v>8</v>
      </c>
      <c r="I49" s="5" t="s">
        <v>8</v>
      </c>
      <c r="J49" s="5"/>
      <c r="K49" s="5"/>
      <c r="L49" s="5"/>
      <c r="M49" s="5"/>
      <c r="N49" s="5"/>
      <c r="O49" s="5"/>
      <c r="P49" s="5"/>
      <c r="Q49" s="5"/>
      <c r="R49" s="5"/>
      <c r="S49" s="5"/>
      <c r="T49" s="5"/>
      <c r="U49" s="5"/>
      <c r="V49" s="5"/>
      <c r="W49" s="5"/>
      <c r="X49" s="5"/>
      <c r="Y49" s="5"/>
      <c r="Z49" s="5"/>
    </row>
    <row r="50" customFormat="false" ht="23.85" hidden="false" customHeight="false" outlineLevel="0" collapsed="false">
      <c r="A50" s="5" t="n">
        <v>49</v>
      </c>
      <c r="B50" s="5" t="s">
        <v>979</v>
      </c>
      <c r="C50" s="5" t="s">
        <v>8</v>
      </c>
      <c r="D50" s="5" t="s">
        <v>8</v>
      </c>
      <c r="E50" s="5" t="s">
        <v>8</v>
      </c>
      <c r="F50" s="5" t="s">
        <v>8</v>
      </c>
      <c r="G50" s="5" t="s">
        <v>8</v>
      </c>
      <c r="H50" s="5" t="s">
        <v>8</v>
      </c>
      <c r="I50" s="5" t="s">
        <v>8</v>
      </c>
      <c r="J50" s="5"/>
      <c r="K50" s="5"/>
      <c r="L50" s="5"/>
      <c r="M50" s="5"/>
      <c r="N50" s="5"/>
      <c r="O50" s="5"/>
      <c r="P50" s="5"/>
      <c r="Q50" s="5"/>
      <c r="R50" s="5"/>
      <c r="S50" s="5"/>
      <c r="T50" s="5"/>
      <c r="U50" s="5"/>
      <c r="V50" s="5"/>
      <c r="W50" s="5"/>
      <c r="X50" s="5"/>
      <c r="Y50" s="5"/>
      <c r="Z50" s="5"/>
    </row>
    <row r="51" customFormat="false" ht="23.85" hidden="false" customHeight="false" outlineLevel="0" collapsed="false">
      <c r="A51" s="5" t="n">
        <v>50</v>
      </c>
      <c r="B51" s="5" t="s">
        <v>981</v>
      </c>
      <c r="C51" s="5" t="s">
        <v>8</v>
      </c>
      <c r="D51" s="5" t="s">
        <v>8</v>
      </c>
      <c r="E51" s="5" t="s">
        <v>8</v>
      </c>
      <c r="F51" s="5" t="s">
        <v>8</v>
      </c>
      <c r="G51" s="5" t="s">
        <v>8</v>
      </c>
      <c r="H51" s="5" t="s">
        <v>8</v>
      </c>
      <c r="I51" s="5" t="s">
        <v>8</v>
      </c>
      <c r="J51" s="5"/>
      <c r="K51" s="5"/>
      <c r="L51" s="5"/>
      <c r="M51" s="5"/>
      <c r="N51" s="5"/>
      <c r="O51" s="5"/>
      <c r="P51" s="5"/>
      <c r="Q51" s="5"/>
      <c r="R51" s="5"/>
      <c r="S51" s="5"/>
      <c r="T51" s="5"/>
      <c r="U51" s="5"/>
      <c r="V51" s="5"/>
      <c r="W51" s="5"/>
      <c r="X51" s="5"/>
      <c r="Y51" s="5"/>
      <c r="Z51" s="5"/>
    </row>
    <row r="52" customFormat="false" ht="23.85" hidden="false" customHeight="false" outlineLevel="0" collapsed="false">
      <c r="A52" s="5" t="n">
        <v>51</v>
      </c>
      <c r="B52" s="5" t="s">
        <v>983</v>
      </c>
      <c r="C52" s="5" t="s">
        <v>8</v>
      </c>
      <c r="D52" s="5" t="s">
        <v>8</v>
      </c>
      <c r="E52" s="5" t="s">
        <v>8</v>
      </c>
      <c r="F52" s="5" t="s">
        <v>8</v>
      </c>
      <c r="G52" s="5" t="s">
        <v>8</v>
      </c>
      <c r="H52" s="5" t="s">
        <v>8</v>
      </c>
      <c r="I52" s="5" t="s">
        <v>8</v>
      </c>
      <c r="J52" s="5"/>
      <c r="K52" s="5"/>
      <c r="L52" s="5"/>
      <c r="M52" s="5"/>
      <c r="N52" s="5"/>
      <c r="O52" s="5"/>
      <c r="P52" s="5"/>
      <c r="Q52" s="5"/>
      <c r="R52" s="5"/>
      <c r="S52" s="5"/>
      <c r="T52" s="5"/>
      <c r="U52" s="5"/>
      <c r="V52" s="5"/>
      <c r="W52" s="5"/>
      <c r="X52" s="5"/>
      <c r="Y52" s="5"/>
      <c r="Z52" s="5"/>
    </row>
    <row r="53" customFormat="false" ht="23.85" hidden="false" customHeight="false" outlineLevel="0" collapsed="false">
      <c r="A53" s="5" t="n">
        <v>52</v>
      </c>
      <c r="B53" s="5" t="s">
        <v>986</v>
      </c>
      <c r="C53" s="5" t="s">
        <v>8</v>
      </c>
      <c r="D53" s="5" t="s">
        <v>8</v>
      </c>
      <c r="E53" s="5" t="s">
        <v>8</v>
      </c>
      <c r="F53" s="5" t="s">
        <v>8</v>
      </c>
      <c r="G53" s="5" t="s">
        <v>8</v>
      </c>
      <c r="H53" s="5" t="s">
        <v>8</v>
      </c>
      <c r="I53" s="5" t="s">
        <v>8</v>
      </c>
      <c r="J53" s="5"/>
      <c r="K53" s="5"/>
      <c r="L53" s="5"/>
      <c r="M53" s="5"/>
      <c r="N53" s="5"/>
      <c r="O53" s="5"/>
      <c r="P53" s="5"/>
      <c r="Q53" s="5"/>
      <c r="R53" s="5"/>
      <c r="S53" s="5"/>
      <c r="T53" s="5"/>
      <c r="U53" s="5"/>
      <c r="V53" s="5"/>
      <c r="W53" s="5"/>
      <c r="X53" s="5"/>
      <c r="Y53" s="5"/>
      <c r="Z53" s="5"/>
    </row>
    <row r="54" customFormat="false" ht="23.85" hidden="false" customHeight="false" outlineLevel="0" collapsed="false">
      <c r="A54" s="5" t="n">
        <v>53</v>
      </c>
      <c r="B54" s="5" t="s">
        <v>990</v>
      </c>
      <c r="C54" s="5" t="s">
        <v>8</v>
      </c>
      <c r="D54" s="5" t="s">
        <v>8</v>
      </c>
      <c r="E54" s="5" t="s">
        <v>8</v>
      </c>
      <c r="F54" s="5" t="s">
        <v>8</v>
      </c>
      <c r="G54" s="5" t="s">
        <v>8</v>
      </c>
      <c r="H54" s="5" t="s">
        <v>8</v>
      </c>
      <c r="I54" s="5" t="s">
        <v>8</v>
      </c>
      <c r="J54" s="5"/>
      <c r="K54" s="5"/>
      <c r="L54" s="5"/>
      <c r="M54" s="5"/>
      <c r="N54" s="5"/>
      <c r="O54" s="5"/>
      <c r="P54" s="5"/>
      <c r="Q54" s="5"/>
      <c r="R54" s="5"/>
      <c r="S54" s="5"/>
      <c r="T54" s="5"/>
      <c r="U54" s="5"/>
      <c r="V54" s="5"/>
      <c r="W54" s="5"/>
      <c r="X54" s="5"/>
      <c r="Y54" s="5"/>
      <c r="Z54" s="5"/>
    </row>
    <row r="55" customFormat="false" ht="23.85" hidden="false" customHeight="false" outlineLevel="0" collapsed="false">
      <c r="A55" s="5" t="n">
        <v>54</v>
      </c>
      <c r="B55" s="5" t="s">
        <v>993</v>
      </c>
      <c r="C55" s="5" t="s">
        <v>8</v>
      </c>
      <c r="D55" s="5" t="s">
        <v>8</v>
      </c>
      <c r="E55" s="5" t="s">
        <v>8</v>
      </c>
      <c r="F55" s="5" t="s">
        <v>1460</v>
      </c>
      <c r="G55" s="5" t="s">
        <v>8</v>
      </c>
      <c r="H55" s="5" t="s">
        <v>8</v>
      </c>
      <c r="I55" s="5" t="s">
        <v>8</v>
      </c>
      <c r="J55" s="5"/>
      <c r="K55" s="5"/>
      <c r="L55" s="5"/>
      <c r="M55" s="5"/>
      <c r="N55" s="5"/>
      <c r="O55" s="5"/>
      <c r="P55" s="5"/>
      <c r="Q55" s="5"/>
      <c r="R55" s="5"/>
      <c r="S55" s="5"/>
      <c r="T55" s="5"/>
      <c r="U55" s="5"/>
      <c r="V55" s="5"/>
      <c r="W55" s="5"/>
      <c r="X55" s="5"/>
      <c r="Y55" s="5"/>
      <c r="Z55" s="5"/>
    </row>
    <row r="56" customFormat="false" ht="23.85" hidden="false" customHeight="false" outlineLevel="0" collapsed="false">
      <c r="A56" s="5" t="n">
        <v>55</v>
      </c>
      <c r="B56" s="5" t="s">
        <v>996</v>
      </c>
      <c r="C56" s="5" t="s">
        <v>8</v>
      </c>
      <c r="D56" s="5" t="s">
        <v>8</v>
      </c>
      <c r="E56" s="5" t="s">
        <v>8</v>
      </c>
      <c r="F56" s="5" t="s">
        <v>8</v>
      </c>
      <c r="G56" s="5" t="s">
        <v>8</v>
      </c>
      <c r="H56" s="5" t="s">
        <v>8</v>
      </c>
      <c r="I56" s="5" t="s">
        <v>8</v>
      </c>
      <c r="J56" s="5"/>
      <c r="K56" s="5"/>
      <c r="L56" s="5"/>
      <c r="M56" s="5"/>
      <c r="N56" s="5"/>
      <c r="O56" s="5"/>
      <c r="P56" s="5"/>
      <c r="Q56" s="5"/>
      <c r="R56" s="5"/>
      <c r="S56" s="5"/>
      <c r="T56" s="5"/>
      <c r="U56" s="5"/>
      <c r="V56" s="5"/>
      <c r="W56" s="5"/>
      <c r="X56" s="5"/>
      <c r="Y56" s="5"/>
      <c r="Z56" s="5"/>
    </row>
    <row r="57" customFormat="false" ht="23.85" hidden="false" customHeight="false" outlineLevel="0" collapsed="false">
      <c r="A57" s="5" t="n">
        <v>56</v>
      </c>
      <c r="B57" s="5" t="s">
        <v>175</v>
      </c>
      <c r="C57" s="5" t="s">
        <v>8</v>
      </c>
      <c r="D57" s="5" t="s">
        <v>8</v>
      </c>
      <c r="E57" s="5" t="s">
        <v>8</v>
      </c>
      <c r="F57" s="5" t="s">
        <v>8</v>
      </c>
      <c r="G57" s="5" t="s">
        <v>8</v>
      </c>
      <c r="H57" s="5" t="s">
        <v>8</v>
      </c>
      <c r="I57" s="5" t="s">
        <v>8</v>
      </c>
      <c r="J57" s="5"/>
      <c r="K57" s="5"/>
      <c r="L57" s="5"/>
      <c r="M57" s="5"/>
      <c r="N57" s="5"/>
      <c r="O57" s="5"/>
      <c r="P57" s="5"/>
      <c r="Q57" s="5"/>
      <c r="R57" s="5"/>
      <c r="S57" s="5"/>
      <c r="T57" s="5"/>
      <c r="U57" s="5"/>
      <c r="V57" s="5"/>
      <c r="W57" s="5"/>
      <c r="X57" s="5"/>
      <c r="Y57" s="5"/>
      <c r="Z57" s="5"/>
    </row>
    <row r="58" customFormat="false" ht="23.85" hidden="false" customHeight="false" outlineLevel="0" collapsed="false">
      <c r="A58" s="5" t="n">
        <v>57</v>
      </c>
      <c r="B58" s="5" t="s">
        <v>177</v>
      </c>
      <c r="C58" s="5" t="s">
        <v>8</v>
      </c>
      <c r="D58" s="5" t="s">
        <v>8</v>
      </c>
      <c r="E58" s="5" t="s">
        <v>8</v>
      </c>
      <c r="F58" s="5" t="s">
        <v>8</v>
      </c>
      <c r="G58" s="5" t="s">
        <v>8</v>
      </c>
      <c r="H58" s="5" t="s">
        <v>8</v>
      </c>
      <c r="I58" s="5" t="s">
        <v>8</v>
      </c>
      <c r="J58" s="5"/>
      <c r="K58" s="5"/>
      <c r="L58" s="5"/>
      <c r="M58" s="5"/>
      <c r="N58" s="5"/>
      <c r="O58" s="5"/>
      <c r="P58" s="5"/>
      <c r="Q58" s="5"/>
      <c r="R58" s="5"/>
      <c r="S58" s="5"/>
      <c r="T58" s="5"/>
      <c r="U58" s="5"/>
      <c r="V58" s="5"/>
      <c r="W58" s="5"/>
      <c r="X58" s="5"/>
      <c r="Y58" s="5"/>
      <c r="Z58" s="5"/>
    </row>
    <row r="59" customFormat="false" ht="23.85" hidden="false" customHeight="false" outlineLevel="0" collapsed="false">
      <c r="A59" s="5" t="n">
        <v>58</v>
      </c>
      <c r="B59" s="5" t="s">
        <v>179</v>
      </c>
      <c r="C59" s="5" t="s">
        <v>8</v>
      </c>
      <c r="D59" s="5" t="s">
        <v>8</v>
      </c>
      <c r="E59" s="5" t="s">
        <v>8</v>
      </c>
      <c r="F59" s="5" t="s">
        <v>8</v>
      </c>
      <c r="G59" s="5" t="s">
        <v>8</v>
      </c>
      <c r="H59" s="5" t="s">
        <v>8</v>
      </c>
      <c r="I59" s="5" t="s">
        <v>8</v>
      </c>
      <c r="J59" s="5"/>
      <c r="K59" s="5"/>
      <c r="L59" s="5"/>
      <c r="M59" s="5"/>
      <c r="N59" s="5"/>
      <c r="O59" s="5"/>
      <c r="P59" s="5"/>
      <c r="Q59" s="5"/>
      <c r="R59" s="5"/>
      <c r="S59" s="5"/>
      <c r="T59" s="5"/>
      <c r="U59" s="5"/>
      <c r="V59" s="5"/>
      <c r="W59" s="5"/>
      <c r="X59" s="5"/>
      <c r="Y59" s="5"/>
      <c r="Z59" s="5"/>
    </row>
    <row r="60" customFormat="false" ht="15" hidden="false" customHeight="false" outlineLevel="0" collapsed="false">
      <c r="A60" s="1" t="n">
        <v>59</v>
      </c>
      <c r="B60" s="1" t="s">
        <v>181</v>
      </c>
      <c r="C60" s="1" t="s">
        <v>8</v>
      </c>
      <c r="D60" s="1" t="s">
        <v>8</v>
      </c>
      <c r="E60" s="1" t="s">
        <v>8</v>
      </c>
      <c r="F60" s="1" t="s">
        <v>8</v>
      </c>
      <c r="G60" s="1" t="s">
        <v>8</v>
      </c>
      <c r="H60" s="1" t="s">
        <v>8</v>
      </c>
      <c r="I60" s="1" t="s">
        <v>8</v>
      </c>
    </row>
  </sheetData>
  <dataValidations count="1">
    <dataValidation allowBlank="false" errorStyle="stop" operator="between" showDropDown="false" showErrorMessage="false" showInputMessage="false" sqref="C2:I59" type="list">
      <formula1>"Yes,Partial,No"</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7" min="1" style="1" width="22"/>
  </cols>
  <sheetData>
    <row r="1" customFormat="false" ht="34" hidden="false" customHeight="true" outlineLevel="0" collapsed="false">
      <c r="A1" s="6" t="s">
        <v>1461</v>
      </c>
      <c r="B1" s="5" t="s">
        <v>1462</v>
      </c>
      <c r="C1" s="5"/>
      <c r="D1" s="5" t="s">
        <v>810</v>
      </c>
      <c r="E1" s="5" t="s">
        <v>1462</v>
      </c>
      <c r="F1" s="5"/>
      <c r="G1" s="5" t="s">
        <v>1463</v>
      </c>
      <c r="H1" s="5" t="s">
        <v>1462</v>
      </c>
      <c r="I1" s="5"/>
      <c r="J1" s="5" t="s">
        <v>1464</v>
      </c>
      <c r="K1" s="5" t="s">
        <v>1462</v>
      </c>
      <c r="L1" s="5"/>
      <c r="M1" s="5" t="s">
        <v>1465</v>
      </c>
      <c r="N1" s="5" t="s">
        <v>1462</v>
      </c>
      <c r="O1" s="5"/>
      <c r="P1" s="5" t="s">
        <v>1449</v>
      </c>
      <c r="Q1" s="5" t="s">
        <v>1462</v>
      </c>
    </row>
    <row r="2" customFormat="false" ht="15" hidden="false" customHeight="false" outlineLevel="0" collapsed="false">
      <c r="A2" s="5" t="n">
        <v>2020</v>
      </c>
      <c r="B2" s="5" t="n">
        <f aca="false">COUNTIF(Master_Papers!$C$2:$C$59,A2)</f>
        <v>1</v>
      </c>
      <c r="C2" s="5"/>
      <c r="D2" s="5" t="s">
        <v>10</v>
      </c>
      <c r="E2" s="5" t="n">
        <f aca="false">COUNTIF(Master_Papers!$H$2:$H$59,D2)</f>
        <v>0</v>
      </c>
      <c r="F2" s="5"/>
      <c r="G2" s="5" t="s">
        <v>20</v>
      </c>
      <c r="H2" s="5" t="n">
        <f aca="false">SUMIFS(Evaluation_Matrix_V4!$E$2:$E$59,Evaluation_Matrix_V4!$D$2:$D$59,1)</f>
        <v>32</v>
      </c>
      <c r="I2" s="5"/>
      <c r="J2" s="5" t="s">
        <v>10</v>
      </c>
      <c r="K2" s="5" t="n">
        <f aca="false">SUM(Technical_Classification!D$2:D$59)</f>
        <v>29</v>
      </c>
      <c r="L2" s="5"/>
      <c r="M2" s="5" t="s">
        <v>1074</v>
      </c>
      <c r="N2" s="5" t="n">
        <f aca="false">SUM(Performance_Metrics!C$2:C$59)</f>
        <v>16</v>
      </c>
      <c r="O2" s="5"/>
      <c r="P2" s="5" t="s">
        <v>52</v>
      </c>
      <c r="Q2" s="5" t="n">
        <f aca="false">COUNTIF(Quality_Assessment!$I$2:$I$59,P2)</f>
        <v>4</v>
      </c>
    </row>
    <row r="3" customFormat="false" ht="15" hidden="false" customHeight="false" outlineLevel="0" collapsed="false">
      <c r="A3" s="5" t="n">
        <v>2021</v>
      </c>
      <c r="B3" s="5" t="n">
        <f aca="false">COUNTIF(Master_Papers!$C$2:$C$59,A3)</f>
        <v>4</v>
      </c>
      <c r="C3" s="5"/>
      <c r="D3" s="5" t="s">
        <v>12</v>
      </c>
      <c r="E3" s="5" t="n">
        <f aca="false">COUNTIF(Master_Papers!$H$2:$H$59,D3)</f>
        <v>0</v>
      </c>
      <c r="F3" s="5"/>
      <c r="G3" s="5" t="s">
        <v>19</v>
      </c>
      <c r="H3" s="5" t="n">
        <f aca="false">SUMIFS(Evaluation_Matrix_V4!$F$2:$F$59,Evaluation_Matrix_V4!$D$2:$D$59,1)</f>
        <v>22</v>
      </c>
      <c r="I3" s="5"/>
      <c r="J3" s="5" t="s">
        <v>12</v>
      </c>
      <c r="K3" s="5" t="n">
        <f aca="false">SUM(Technical_Classification!E$2:E$59)</f>
        <v>29</v>
      </c>
      <c r="L3" s="5"/>
      <c r="M3" s="5" t="s">
        <v>1075</v>
      </c>
      <c r="N3" s="5" t="n">
        <f aca="false">SUM(Performance_Metrics!D$2:D$59)</f>
        <v>0</v>
      </c>
      <c r="O3" s="5"/>
      <c r="P3" s="5" t="s">
        <v>1466</v>
      </c>
      <c r="Q3" s="5" t="n">
        <f aca="false">COUNTIF(Quality_Assessment!$I$2:$I$59,P3)</f>
        <v>54</v>
      </c>
    </row>
    <row r="4" customFormat="false" ht="15" hidden="false" customHeight="false" outlineLevel="0" collapsed="false">
      <c r="A4" s="5" t="n">
        <v>2022</v>
      </c>
      <c r="B4" s="5" t="n">
        <f aca="false">COUNTIF(Master_Papers!$C$2:$C$59,A4)</f>
        <v>6</v>
      </c>
      <c r="C4" s="5"/>
      <c r="D4" s="5" t="s">
        <v>11</v>
      </c>
      <c r="E4" s="5" t="n">
        <f aca="false">COUNTIF(Master_Papers!$H$2:$H$59,D4)</f>
        <v>2</v>
      </c>
      <c r="F4" s="5"/>
      <c r="G4" s="5" t="s">
        <v>22</v>
      </c>
      <c r="H4" s="5" t="n">
        <f aca="false">SUMIFS(Evaluation_Matrix_V4!$G$2:$G$59,Evaluation_Matrix_V4!$D$2:$D$59,1)</f>
        <v>15</v>
      </c>
      <c r="I4" s="5"/>
      <c r="J4" s="5" t="s">
        <v>1013</v>
      </c>
      <c r="K4" s="5" t="n">
        <f aca="false">SUM(Technical_Classification!F$2:F$59)</f>
        <v>31</v>
      </c>
      <c r="L4" s="5"/>
      <c r="M4" s="5" t="s">
        <v>1076</v>
      </c>
      <c r="N4" s="5" t="n">
        <f aca="false">SUM(Performance_Metrics!E$2:E$59)</f>
        <v>6</v>
      </c>
      <c r="O4" s="5"/>
      <c r="P4" s="5" t="s">
        <v>1467</v>
      </c>
      <c r="Q4" s="5" t="n">
        <f aca="false">COUNTIF(Quality_Assessment!$I$2:$I$59,P4)</f>
        <v>0</v>
      </c>
    </row>
    <row r="5" customFormat="false" ht="23.85" hidden="false" customHeight="false" outlineLevel="0" collapsed="false">
      <c r="A5" s="5" t="n">
        <v>2023</v>
      </c>
      <c r="B5" s="5" t="n">
        <f aca="false">COUNTIF(Master_Papers!$C$2:$C$59,A5)</f>
        <v>3</v>
      </c>
      <c r="C5" s="5"/>
      <c r="D5" s="5" t="s">
        <v>17</v>
      </c>
      <c r="E5" s="5" t="n">
        <f aca="false">COUNTIF(Master_Papers!$H$2:$H$59,D5)</f>
        <v>1</v>
      </c>
      <c r="F5" s="5"/>
      <c r="G5" s="5" t="s">
        <v>21</v>
      </c>
      <c r="H5" s="5" t="n">
        <f aca="false">SUMIFS(Evaluation_Matrix_V4!$H$2:$H$59,Evaluation_Matrix_V4!$D$2:$D$59,1)</f>
        <v>9</v>
      </c>
      <c r="I5" s="5"/>
      <c r="J5" s="5" t="s">
        <v>1014</v>
      </c>
      <c r="K5" s="5" t="n">
        <f aca="false">SUM(Technical_Classification!G$2:G$59)</f>
        <v>31</v>
      </c>
      <c r="L5" s="5"/>
      <c r="M5" s="5" t="s">
        <v>1077</v>
      </c>
      <c r="N5" s="5" t="n">
        <f aca="false">SUM(Performance_Metrics!F$2:F$59)</f>
        <v>2</v>
      </c>
      <c r="O5" s="5"/>
      <c r="P5" s="5"/>
      <c r="Q5" s="5"/>
    </row>
    <row r="6" customFormat="false" ht="15" hidden="false" customHeight="false" outlineLevel="0" collapsed="false">
      <c r="A6" s="5" t="n">
        <v>2024</v>
      </c>
      <c r="B6" s="5" t="n">
        <f aca="false">COUNTIF(Master_Papers!$C$2:$C$59,A6)</f>
        <v>15</v>
      </c>
      <c r="C6" s="5"/>
      <c r="D6" s="5" t="s">
        <v>15</v>
      </c>
      <c r="E6" s="5" t="n">
        <f aca="false">COUNTIF(Master_Papers!$H$2:$H$59,D6)</f>
        <v>0</v>
      </c>
      <c r="F6" s="5"/>
      <c r="G6" s="5"/>
      <c r="H6" s="5"/>
      <c r="I6" s="5"/>
      <c r="J6" s="5" t="s">
        <v>1015</v>
      </c>
      <c r="K6" s="5" t="n">
        <f aca="false">SUM(Technical_Classification!H$2:H$59)</f>
        <v>4</v>
      </c>
      <c r="L6" s="5"/>
      <c r="M6" s="5" t="s">
        <v>1078</v>
      </c>
      <c r="N6" s="5" t="n">
        <f aca="false">SUM(Performance_Metrics!G$2:G$59)</f>
        <v>11</v>
      </c>
      <c r="O6" s="5"/>
      <c r="P6" s="5"/>
      <c r="Q6" s="5"/>
    </row>
    <row r="7" customFormat="false" ht="15" hidden="false" customHeight="false" outlineLevel="0" collapsed="false">
      <c r="A7" s="5" t="n">
        <v>2025</v>
      </c>
      <c r="B7" s="5" t="n">
        <f aca="false">COUNTIF(Master_Papers!$C$2:$C$59,A7)</f>
        <v>18</v>
      </c>
      <c r="C7" s="5"/>
      <c r="D7" s="5" t="s">
        <v>16</v>
      </c>
      <c r="E7" s="5" t="n">
        <f aca="false">COUNTIF(Master_Papers!$H$2:$H$59,D7)</f>
        <v>1</v>
      </c>
      <c r="F7" s="5"/>
      <c r="G7" s="5"/>
      <c r="H7" s="5"/>
      <c r="I7" s="5"/>
      <c r="J7" s="5" t="s">
        <v>1016</v>
      </c>
      <c r="K7" s="5" t="n">
        <f aca="false">SUM(Technical_Classification!I$2:I$59)</f>
        <v>4</v>
      </c>
      <c r="L7" s="5"/>
      <c r="M7" s="5" t="s">
        <v>1079</v>
      </c>
      <c r="N7" s="5" t="n">
        <f aca="false">SUM(Performance_Metrics!H$2:H$59)</f>
        <v>47</v>
      </c>
      <c r="O7" s="5"/>
      <c r="P7" s="5"/>
      <c r="Q7" s="5"/>
    </row>
    <row r="8" customFormat="false" ht="23.85" hidden="false" customHeight="false" outlineLevel="0" collapsed="false">
      <c r="A8" s="5" t="n">
        <v>2026</v>
      </c>
      <c r="B8" s="5" t="n">
        <f aca="false">COUNTIF(Master_Papers!$C$2:$C$59,A8)</f>
        <v>10</v>
      </c>
      <c r="C8" s="5"/>
      <c r="D8" s="5" t="s">
        <v>14</v>
      </c>
      <c r="E8" s="5" t="n">
        <f aca="false">COUNTIF(Master_Papers!$H$2:$H$59,D8)</f>
        <v>2</v>
      </c>
      <c r="F8" s="5"/>
      <c r="G8" s="5"/>
      <c r="H8" s="5"/>
      <c r="I8" s="5"/>
      <c r="J8" s="5" t="s">
        <v>1017</v>
      </c>
      <c r="K8" s="5" t="n">
        <f aca="false">SUM(Technical_Classification!J$2:J$59)</f>
        <v>9</v>
      </c>
      <c r="L8" s="5"/>
      <c r="M8" s="5" t="s">
        <v>1080</v>
      </c>
      <c r="N8" s="5" t="n">
        <f aca="false">SUM(Performance_Metrics!I$2:I$59)</f>
        <v>2</v>
      </c>
      <c r="O8" s="5"/>
      <c r="P8" s="5"/>
      <c r="Q8" s="5"/>
    </row>
    <row r="9" customFormat="false" ht="15" hidden="false" customHeight="false" outlineLevel="0" collapsed="false">
      <c r="A9" s="5"/>
      <c r="B9" s="5"/>
      <c r="C9" s="5"/>
      <c r="D9" s="5" t="s">
        <v>13</v>
      </c>
      <c r="E9" s="5" t="n">
        <f aca="false">COUNTIF(Master_Papers!$H$2:$H$59,D9)</f>
        <v>0</v>
      </c>
      <c r="F9" s="5"/>
      <c r="G9" s="5"/>
      <c r="H9" s="5"/>
      <c r="I9" s="5"/>
      <c r="J9" s="5" t="s">
        <v>1018</v>
      </c>
      <c r="K9" s="5" t="n">
        <f aca="false">SUM(Technical_Classification!K$2:K$59)</f>
        <v>7</v>
      </c>
      <c r="L9" s="5"/>
      <c r="M9" s="5" t="s">
        <v>1081</v>
      </c>
      <c r="N9" s="5" t="n">
        <f aca="false">SUM(Performance_Metrics!J$2:J$59)</f>
        <v>2</v>
      </c>
      <c r="O9" s="5"/>
      <c r="P9" s="5"/>
      <c r="Q9" s="5"/>
    </row>
    <row r="10" customFormat="false" ht="15" hidden="false" customHeight="false" outlineLevel="0" collapsed="false">
      <c r="A10" s="5"/>
      <c r="B10" s="5"/>
      <c r="C10" s="5"/>
      <c r="D10" s="5" t="s">
        <v>836</v>
      </c>
      <c r="E10" s="5" t="n">
        <f aca="false">COUNTIF(Master_Papers!$H$2:$H$59,D10)</f>
        <v>2</v>
      </c>
      <c r="F10" s="5"/>
      <c r="G10" s="5"/>
      <c r="H10" s="5"/>
      <c r="I10" s="5"/>
      <c r="J10" s="5" t="s">
        <v>1019</v>
      </c>
      <c r="K10" s="5" t="n">
        <f aca="false">SUM(Technical_Classification!L$2:L$59)</f>
        <v>1</v>
      </c>
      <c r="L10" s="5"/>
      <c r="M10" s="5" t="s">
        <v>1082</v>
      </c>
      <c r="N10" s="5" t="n">
        <f aca="false">SUM(Performance_Metrics!K$2:K$59)</f>
        <v>11</v>
      </c>
      <c r="O10" s="5"/>
      <c r="P10" s="5"/>
      <c r="Q10" s="5"/>
    </row>
    <row r="11" customFormat="false" ht="15" hidden="false" customHeight="false" outlineLevel="0" collapsed="false">
      <c r="A11" s="5"/>
      <c r="B11" s="5"/>
      <c r="C11" s="5"/>
      <c r="D11" s="5" t="s">
        <v>1468</v>
      </c>
      <c r="E11" s="5" t="n">
        <f aca="false">COUNTIF(Master_Papers!$H$2:$H$59,D11)</f>
        <v>0</v>
      </c>
      <c r="F11" s="5"/>
      <c r="G11" s="5"/>
      <c r="H11" s="5"/>
      <c r="I11" s="5"/>
      <c r="J11" s="5" t="s">
        <v>1020</v>
      </c>
      <c r="K11" s="5" t="n">
        <f aca="false">SUM(Technical_Classification!M$2:M$59)</f>
        <v>8</v>
      </c>
      <c r="L11" s="5"/>
      <c r="M11" s="5" t="s">
        <v>1083</v>
      </c>
      <c r="N11" s="5" t="n">
        <f aca="false">SUM(Performance_Metrics!L$2:L$59)</f>
        <v>17</v>
      </c>
      <c r="O11" s="5"/>
      <c r="P11" s="5"/>
      <c r="Q11" s="5"/>
    </row>
    <row r="12" customFormat="false" ht="15" hidden="false" customHeight="false" outlineLevel="0" collapsed="false">
      <c r="A12" s="5"/>
      <c r="B12" s="5"/>
      <c r="C12" s="5"/>
      <c r="D12" s="5"/>
      <c r="E12" s="5"/>
      <c r="F12" s="5"/>
      <c r="G12" s="5"/>
      <c r="H12" s="5"/>
      <c r="I12" s="5"/>
      <c r="J12" s="5" t="s">
        <v>1021</v>
      </c>
      <c r="K12" s="5" t="n">
        <f aca="false">SUM(Technical_Classification!N$2:N$59)</f>
        <v>5</v>
      </c>
      <c r="L12" s="5"/>
      <c r="M12" s="5" t="s">
        <v>1084</v>
      </c>
      <c r="N12" s="5" t="n">
        <f aca="false">SUM(Performance_Metrics!M$2:M$59)</f>
        <v>0</v>
      </c>
      <c r="O12" s="5"/>
      <c r="P12" s="5"/>
      <c r="Q12" s="5"/>
    </row>
    <row r="13" customFormat="false" ht="15" hidden="false" customHeight="false" outlineLevel="0" collapsed="false">
      <c r="A13" s="5"/>
      <c r="B13" s="5"/>
      <c r="C13" s="5"/>
      <c r="D13" s="5"/>
      <c r="E13" s="5"/>
      <c r="F13" s="5"/>
      <c r="G13" s="5"/>
      <c r="H13" s="5"/>
      <c r="I13" s="5"/>
      <c r="J13" s="5" t="s">
        <v>1022</v>
      </c>
      <c r="K13" s="5" t="n">
        <f aca="false">SUM(Technical_Classification!O$2:O$59)</f>
        <v>23</v>
      </c>
      <c r="L13" s="5"/>
      <c r="M13" s="5" t="s">
        <v>1023</v>
      </c>
      <c r="N13" s="5" t="n">
        <f aca="false">SUM(Performance_Metrics!N$2:N$59)</f>
        <v>24</v>
      </c>
      <c r="O13" s="5"/>
      <c r="P13" s="5"/>
      <c r="Q13" s="5"/>
    </row>
    <row r="14" customFormat="false" ht="15" hidden="false" customHeight="false" outlineLevel="0" collapsed="false">
      <c r="A14" s="5"/>
      <c r="B14" s="5"/>
      <c r="C14" s="5"/>
      <c r="D14" s="5"/>
      <c r="E14" s="5"/>
      <c r="F14" s="5"/>
      <c r="G14" s="5"/>
      <c r="H14" s="5"/>
      <c r="I14" s="5"/>
      <c r="J14" s="5" t="s">
        <v>1023</v>
      </c>
      <c r="K14" s="5" t="n">
        <f aca="false">SUM(Technical_Classification!P$2:P$59)</f>
        <v>8</v>
      </c>
      <c r="L14" s="5"/>
      <c r="M14" s="5" t="s">
        <v>1085</v>
      </c>
      <c r="N14" s="5" t="n">
        <f aca="false">SUM(Performance_Metrics!O$2:O$59)</f>
        <v>0</v>
      </c>
      <c r="O14" s="5"/>
      <c r="P14" s="5"/>
      <c r="Q14" s="5"/>
    </row>
    <row r="15" customFormat="false" ht="15" hidden="false" customHeight="false" outlineLevel="0" collapsed="false">
      <c r="A15" s="5"/>
      <c r="B15" s="5"/>
      <c r="C15" s="5"/>
      <c r="D15" s="5"/>
      <c r="E15" s="5"/>
      <c r="F15" s="5"/>
      <c r="G15" s="5"/>
      <c r="H15" s="5"/>
      <c r="I15" s="5"/>
      <c r="J15" s="5" t="s">
        <v>1024</v>
      </c>
      <c r="K15" s="5" t="n">
        <f aca="false">SUM(Technical_Classification!Q$2:Q$59)</f>
        <v>2</v>
      </c>
      <c r="L15" s="5"/>
      <c r="M15" s="5" t="s">
        <v>1086</v>
      </c>
      <c r="N15" s="5" t="n">
        <f aca="false">SUM(Performance_Metrics!P$2:P$59)</f>
        <v>2</v>
      </c>
      <c r="O15" s="5"/>
      <c r="P15" s="5"/>
      <c r="Q15" s="5"/>
    </row>
    <row r="16" customFormat="false" ht="15" hidden="false" customHeight="false" outlineLevel="0" collapsed="false">
      <c r="A16" s="5"/>
      <c r="B16" s="5"/>
      <c r="C16" s="5"/>
      <c r="D16" s="5"/>
      <c r="E16" s="5"/>
      <c r="F16" s="5"/>
      <c r="G16" s="5"/>
      <c r="H16" s="5"/>
      <c r="I16" s="5"/>
      <c r="J16" s="5" t="s">
        <v>1025</v>
      </c>
      <c r="K16" s="5" t="n">
        <f aca="false">SUM(Technical_Classification!R$2:R$59)</f>
        <v>2</v>
      </c>
      <c r="L16" s="5"/>
      <c r="M16" s="5" t="s">
        <v>1087</v>
      </c>
      <c r="N16" s="5" t="n">
        <f aca="false">SUM(Performance_Metrics!Q$2:Q$59)</f>
        <v>1</v>
      </c>
      <c r="O16" s="5"/>
      <c r="P16" s="5"/>
      <c r="Q16" s="5"/>
    </row>
    <row r="17" customFormat="false" ht="15" hidden="false" customHeight="false" outlineLevel="0" collapsed="false">
      <c r="A17" s="5"/>
      <c r="B17" s="5"/>
      <c r="C17" s="5"/>
      <c r="D17" s="5"/>
      <c r="E17" s="5"/>
      <c r="F17" s="5"/>
      <c r="G17" s="5"/>
      <c r="H17" s="5"/>
      <c r="I17" s="5"/>
      <c r="J17" s="5" t="s">
        <v>1026</v>
      </c>
      <c r="K17" s="5" t="n">
        <f aca="false">SUM(Technical_Classification!S$2:S$59)</f>
        <v>15</v>
      </c>
      <c r="L17" s="5"/>
      <c r="M17" s="5" t="s">
        <v>1088</v>
      </c>
      <c r="N17" s="5" t="n">
        <f aca="false">SUM(Performance_Metrics!R$2:R$59)</f>
        <v>1</v>
      </c>
      <c r="O17" s="5"/>
      <c r="P17" s="5"/>
      <c r="Q17" s="5"/>
    </row>
    <row r="18" customFormat="false" ht="15" hidden="false" customHeight="false" outlineLevel="0" collapsed="false">
      <c r="A18" s="5"/>
      <c r="B18" s="5"/>
      <c r="C18" s="5"/>
      <c r="D18" s="5"/>
      <c r="E18" s="5"/>
      <c r="F18" s="5"/>
      <c r="G18" s="5"/>
      <c r="H18" s="5"/>
      <c r="I18" s="5"/>
      <c r="J18" s="5" t="s">
        <v>900</v>
      </c>
      <c r="K18" s="5" t="n">
        <f aca="false">SUM(Technical_Classification!T$2:T$59)</f>
        <v>4</v>
      </c>
      <c r="L18" s="5"/>
      <c r="M18" s="5" t="s">
        <v>1089</v>
      </c>
      <c r="N18" s="5" t="n">
        <f aca="false">SUM(Performance_Metrics!S$2:S$59)</f>
        <v>1</v>
      </c>
      <c r="O18" s="5"/>
      <c r="P18" s="5"/>
      <c r="Q18" s="5"/>
    </row>
    <row r="19" customFormat="false" ht="15" hidden="false" customHeight="false" outlineLevel="0" collapsed="false">
      <c r="A19" s="5"/>
      <c r="B19" s="5"/>
      <c r="C19" s="5"/>
      <c r="D19" s="5"/>
      <c r="E19" s="5"/>
      <c r="F19" s="5"/>
      <c r="G19" s="5"/>
      <c r="H19" s="5"/>
      <c r="I19" s="5"/>
      <c r="J19" s="5" t="s">
        <v>1027</v>
      </c>
      <c r="K19" s="5" t="n">
        <f aca="false">SUM(Technical_Classification!U$2:U$59)</f>
        <v>23</v>
      </c>
      <c r="L19" s="5"/>
      <c r="M19" s="5" t="s">
        <v>1090</v>
      </c>
      <c r="N19" s="5" t="n">
        <f aca="false">SUM(Performance_Metrics!T$2:T$59)</f>
        <v>1</v>
      </c>
      <c r="O19" s="5"/>
      <c r="P19" s="5"/>
      <c r="Q19" s="5"/>
    </row>
    <row r="20" customFormat="false" ht="15" hidden="false" customHeight="false" outlineLevel="0" collapsed="false">
      <c r="A20" s="5"/>
      <c r="B20" s="5"/>
      <c r="C20" s="5"/>
      <c r="D20" s="5"/>
      <c r="E20" s="5"/>
      <c r="F20" s="5"/>
      <c r="G20" s="5"/>
      <c r="H20" s="5"/>
      <c r="I20" s="5"/>
      <c r="J20" s="5" t="s">
        <v>1028</v>
      </c>
      <c r="K20" s="5" t="n">
        <f aca="false">SUM(Technical_Classification!V$2:V$59)</f>
        <v>23</v>
      </c>
      <c r="L20" s="5"/>
      <c r="M20" s="5" t="s">
        <v>1091</v>
      </c>
      <c r="N20" s="5" t="n">
        <f aca="false">SUM(Performance_Metrics!U$2:U$59)</f>
        <v>4</v>
      </c>
      <c r="O20" s="5"/>
      <c r="P20" s="5"/>
      <c r="Q20" s="5"/>
    </row>
    <row r="21" customFormat="false" ht="15" hidden="false" customHeight="false" outlineLevel="0" collapsed="false">
      <c r="A21" s="5"/>
      <c r="B21" s="5"/>
      <c r="C21" s="5"/>
      <c r="D21" s="5"/>
      <c r="E21" s="5"/>
      <c r="F21" s="5"/>
      <c r="G21" s="5"/>
      <c r="H21" s="5"/>
      <c r="I21" s="5"/>
      <c r="J21" s="5"/>
      <c r="K21" s="5"/>
      <c r="L21" s="5"/>
      <c r="M21" s="5"/>
      <c r="N21" s="5"/>
      <c r="O21" s="5"/>
      <c r="P21" s="5"/>
      <c r="Q21" s="5"/>
    </row>
    <row r="22" customFormat="false" ht="15" hidden="false" customHeight="false" outlineLevel="0" collapsed="false">
      <c r="A22" s="5"/>
      <c r="B22" s="5"/>
      <c r="C22" s="5"/>
      <c r="D22" s="5"/>
      <c r="E22" s="5"/>
      <c r="F22" s="5"/>
      <c r="G22" s="5"/>
      <c r="H22" s="5"/>
      <c r="I22" s="5"/>
      <c r="J22" s="5"/>
      <c r="K22" s="5"/>
      <c r="L22" s="5"/>
      <c r="M22" s="5"/>
      <c r="N22" s="5"/>
      <c r="O22" s="5"/>
      <c r="P22" s="5"/>
      <c r="Q22" s="5"/>
    </row>
    <row r="23" customFormat="false" ht="15" hidden="false" customHeight="false" outlineLevel="0" collapsed="false">
      <c r="A23" s="5"/>
      <c r="B23" s="5"/>
      <c r="C23" s="5"/>
      <c r="D23" s="5"/>
      <c r="E23" s="5"/>
      <c r="F23" s="5"/>
      <c r="G23" s="5"/>
      <c r="H23" s="5"/>
      <c r="I23" s="5"/>
      <c r="J23" s="5"/>
      <c r="K23" s="5"/>
      <c r="L23" s="5"/>
      <c r="M23" s="5"/>
      <c r="N23" s="5"/>
      <c r="O23" s="5"/>
      <c r="P23" s="5"/>
      <c r="Q23" s="5"/>
    </row>
    <row r="24" customFormat="false" ht="15" hidden="false" customHeight="false" outlineLevel="0" collapsed="false">
      <c r="A24" s="5"/>
      <c r="B24" s="5"/>
      <c r="C24" s="5"/>
      <c r="D24" s="5"/>
      <c r="E24" s="5"/>
      <c r="F24" s="5"/>
      <c r="G24" s="5"/>
      <c r="H24" s="5"/>
      <c r="I24" s="5"/>
      <c r="J24" s="5"/>
      <c r="K24" s="5"/>
      <c r="L24" s="5"/>
      <c r="M24" s="5"/>
      <c r="N24" s="5"/>
      <c r="O24" s="5"/>
      <c r="P24" s="5"/>
      <c r="Q24" s="5"/>
    </row>
    <row r="25" customFormat="false" ht="15" hidden="false" customHeight="false" outlineLevel="0" collapsed="false">
      <c r="A25" s="5"/>
      <c r="B25" s="5"/>
      <c r="C25" s="5"/>
      <c r="D25" s="5"/>
      <c r="E25" s="5"/>
      <c r="F25" s="5"/>
      <c r="G25" s="5"/>
      <c r="H25" s="5"/>
      <c r="I25" s="5"/>
      <c r="J25" s="5"/>
      <c r="K25" s="5"/>
      <c r="L25" s="5"/>
      <c r="M25" s="5"/>
      <c r="N25" s="5"/>
      <c r="O25" s="5"/>
      <c r="P25" s="5"/>
      <c r="Q25" s="5"/>
    </row>
    <row r="26" customFormat="false" ht="15" hidden="false" customHeight="false" outlineLevel="0" collapsed="false">
      <c r="A26" s="5"/>
      <c r="B26" s="5"/>
      <c r="C26" s="5"/>
      <c r="D26" s="5"/>
      <c r="E26" s="5"/>
      <c r="F26" s="5"/>
      <c r="G26" s="5"/>
      <c r="H26" s="5"/>
      <c r="I26" s="5"/>
      <c r="J26" s="5"/>
      <c r="K26" s="5"/>
      <c r="L26" s="5"/>
      <c r="M26" s="5"/>
      <c r="N26" s="5"/>
      <c r="O26" s="5"/>
      <c r="P26" s="5"/>
      <c r="Q26" s="5"/>
    </row>
    <row r="27" customFormat="false" ht="15" hidden="false" customHeight="false" outlineLevel="0" collapsed="false">
      <c r="A27" s="5"/>
      <c r="B27" s="5"/>
      <c r="C27" s="5"/>
      <c r="D27" s="5"/>
      <c r="E27" s="5"/>
      <c r="F27" s="5"/>
      <c r="G27" s="5"/>
      <c r="H27" s="5"/>
      <c r="I27" s="5"/>
      <c r="J27" s="5"/>
      <c r="K27" s="5"/>
      <c r="L27" s="5"/>
      <c r="M27" s="5"/>
      <c r="N27" s="5"/>
      <c r="O27" s="5"/>
      <c r="P27" s="5"/>
      <c r="Q27" s="5"/>
    </row>
    <row r="28" customFormat="false" ht="15" hidden="false" customHeight="false" outlineLevel="0" collapsed="false">
      <c r="A28" s="5"/>
      <c r="B28" s="5"/>
      <c r="C28" s="5"/>
      <c r="D28" s="5"/>
      <c r="E28" s="5"/>
      <c r="F28" s="5"/>
      <c r="G28" s="5"/>
      <c r="H28" s="5"/>
      <c r="I28" s="5"/>
      <c r="J28" s="5"/>
      <c r="K28" s="5"/>
      <c r="L28" s="5"/>
      <c r="M28" s="5"/>
      <c r="N28" s="5"/>
      <c r="O28" s="5"/>
      <c r="P28" s="5"/>
      <c r="Q28" s="5"/>
    </row>
    <row r="29" customFormat="false" ht="15" hidden="false" customHeight="false" outlineLevel="0" collapsed="false">
      <c r="A29" s="5"/>
      <c r="B29" s="5"/>
      <c r="C29" s="5"/>
      <c r="D29" s="5"/>
      <c r="E29" s="5"/>
      <c r="F29" s="5"/>
      <c r="G29" s="5"/>
      <c r="H29" s="5"/>
      <c r="I29" s="5"/>
      <c r="J29" s="5"/>
      <c r="K29" s="5"/>
      <c r="L29" s="5"/>
      <c r="M29" s="5"/>
      <c r="N29" s="5"/>
      <c r="O29" s="5"/>
      <c r="P29" s="5"/>
      <c r="Q29" s="5"/>
    </row>
    <row r="30" customFormat="false" ht="15" hidden="false" customHeight="false" outlineLevel="0" collapsed="false">
      <c r="A30" s="5"/>
      <c r="B30" s="5"/>
      <c r="C30" s="5"/>
      <c r="D30" s="5"/>
      <c r="E30" s="5"/>
      <c r="F30" s="5"/>
      <c r="G30" s="5"/>
      <c r="H30" s="5"/>
      <c r="I30" s="5"/>
      <c r="J30" s="5"/>
      <c r="K30" s="5"/>
      <c r="L30" s="5"/>
      <c r="M30" s="5"/>
      <c r="N30" s="5"/>
      <c r="O30" s="5"/>
      <c r="P30" s="5"/>
      <c r="Q30"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R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22"/>
    <col collapsed="false" customWidth="true" hidden="false" outlineLevel="0" max="3" min="3" style="1" width="9"/>
    <col collapsed="false" customWidth="true" hidden="false" outlineLevel="0" max="4" min="4" style="1" width="42"/>
    <col collapsed="false" customWidth="true" hidden="false" outlineLevel="0" max="5" min="5" style="1" width="20"/>
    <col collapsed="false" customWidth="true" hidden="false" outlineLevel="0" max="6" min="6" style="1" width="16"/>
    <col collapsed="false" customWidth="true" hidden="false" outlineLevel="0" max="7" min="7" style="1" width="36"/>
    <col collapsed="false" customWidth="true" hidden="false" outlineLevel="0" max="8" min="8" style="1" width="30"/>
    <col collapsed="false" customWidth="true" hidden="false" outlineLevel="0" max="9" min="9" style="1" width="34"/>
    <col collapsed="false" customWidth="true" hidden="false" outlineLevel="0" max="10" min="10" style="1" width="32"/>
    <col collapsed="false" customWidth="true" hidden="false" outlineLevel="0" max="11" min="11" style="1" width="30"/>
    <col collapsed="false" customWidth="true" hidden="false" outlineLevel="0" max="12" min="12" style="1" width="24"/>
    <col collapsed="false" customWidth="true" hidden="false" outlineLevel="0" max="13" min="13" style="1" width="28"/>
    <col collapsed="false" customWidth="true" hidden="false" outlineLevel="0" max="14" min="14" style="1" width="24"/>
    <col collapsed="false" customWidth="true" hidden="false" outlineLevel="0" max="15" min="15" style="1" width="18"/>
    <col collapsed="false" customWidth="true" hidden="false" outlineLevel="0" max="16" min="16" style="1" width="22"/>
    <col collapsed="false" customWidth="true" hidden="false" outlineLevel="0" max="17" min="17" style="1" width="18"/>
    <col collapsed="false" customWidth="true" hidden="false" outlineLevel="0" max="19" min="18" style="1" width="14"/>
    <col collapsed="false" customWidth="true" hidden="false" outlineLevel="0" max="20" min="20" style="1" width="12"/>
    <col collapsed="false" customWidth="true" hidden="false" outlineLevel="0" max="21" min="21" style="1" width="34"/>
    <col collapsed="false" customWidth="true" hidden="false" outlineLevel="0" max="22" min="22" style="1" width="24"/>
    <col collapsed="false" customWidth="true" hidden="false" outlineLevel="0" max="23" min="23" style="1" width="38"/>
    <col collapsed="false" customWidth="true" hidden="false" outlineLevel="0" max="25" min="24" style="1" width="40"/>
    <col collapsed="false" customWidth="true" hidden="false" outlineLevel="0" max="26" min="26" style="1" width="42"/>
    <col collapsed="false" customWidth="true" hidden="false" outlineLevel="0" max="29" min="27" style="1" width="38"/>
    <col collapsed="false" customWidth="true" hidden="false" outlineLevel="0" max="32" min="30" style="1" width="16"/>
    <col collapsed="false" customWidth="true" hidden="false" outlineLevel="0" max="33" min="33" style="1" width="22"/>
    <col collapsed="false" customWidth="true" hidden="false" outlineLevel="0" max="34" min="34" style="1" width="24"/>
    <col collapsed="false" customWidth="true" hidden="false" outlineLevel="0" max="35" min="35" style="1" width="28"/>
    <col collapsed="false" customWidth="true" hidden="false" outlineLevel="0" max="36" min="36" style="1" width="16"/>
    <col collapsed="false" customWidth="true" hidden="false" outlineLevel="0" max="37" min="37" style="1" width="28"/>
    <col collapsed="false" customWidth="true" hidden="false" outlineLevel="0" max="38" min="38" style="1" width="36"/>
    <col collapsed="false" customWidth="true" hidden="false" outlineLevel="0" max="39" min="39" style="1" width="24"/>
    <col collapsed="false" customWidth="true" hidden="false" outlineLevel="0" max="40" min="40" style="1" width="38"/>
    <col collapsed="false" customWidth="true" hidden="false" outlineLevel="0" max="41" min="41" style="1" width="24"/>
    <col collapsed="false" customWidth="true" hidden="false" outlineLevel="0" max="43" min="42" style="1" width="16"/>
    <col collapsed="false" customWidth="true" hidden="false" outlineLevel="0" max="44" min="44" style="1" width="38"/>
  </cols>
  <sheetData>
    <row r="1" customFormat="false" ht="36" hidden="false" customHeight="true" outlineLevel="0" collapsed="false">
      <c r="A1" s="6" t="s">
        <v>805</v>
      </c>
      <c r="B1" s="5" t="s">
        <v>806</v>
      </c>
      <c r="C1" s="5" t="s">
        <v>807</v>
      </c>
      <c r="D1" s="5" t="s">
        <v>1012</v>
      </c>
      <c r="E1" s="5" t="s">
        <v>809</v>
      </c>
      <c r="F1" s="5" t="s">
        <v>1469</v>
      </c>
      <c r="G1" s="5" t="s">
        <v>1470</v>
      </c>
      <c r="H1" s="5" t="s">
        <v>810</v>
      </c>
      <c r="I1" s="5" t="s">
        <v>1471</v>
      </c>
      <c r="J1" s="5" t="s">
        <v>1472</v>
      </c>
      <c r="K1" s="5" t="s">
        <v>1463</v>
      </c>
      <c r="L1" s="5" t="s">
        <v>1473</v>
      </c>
      <c r="M1" s="5" t="s">
        <v>1474</v>
      </c>
      <c r="N1" s="5" t="s">
        <v>1475</v>
      </c>
      <c r="O1" s="5" t="s">
        <v>1476</v>
      </c>
      <c r="P1" s="5" t="s">
        <v>1477</v>
      </c>
      <c r="Q1" s="5" t="s">
        <v>1478</v>
      </c>
      <c r="R1" s="5" t="s">
        <v>1066</v>
      </c>
      <c r="S1" s="5" t="s">
        <v>1479</v>
      </c>
      <c r="T1" s="5" t="s">
        <v>1064</v>
      </c>
      <c r="U1" s="5" t="s">
        <v>1480</v>
      </c>
      <c r="V1" s="5" t="s">
        <v>1096</v>
      </c>
      <c r="W1" s="5" t="s">
        <v>1481</v>
      </c>
      <c r="X1" s="5" t="s">
        <v>1482</v>
      </c>
      <c r="Y1" s="5" t="s">
        <v>1483</v>
      </c>
      <c r="Z1" s="5" t="s">
        <v>1094</v>
      </c>
      <c r="AA1" s="5" t="s">
        <v>196</v>
      </c>
      <c r="AB1" s="5" t="s">
        <v>197</v>
      </c>
      <c r="AC1" s="5" t="s">
        <v>34</v>
      </c>
      <c r="AD1" s="5" t="s">
        <v>1099</v>
      </c>
      <c r="AE1" s="5" t="s">
        <v>1100</v>
      </c>
      <c r="AF1" s="5" t="s">
        <v>1101</v>
      </c>
      <c r="AG1" s="5" t="s">
        <v>812</v>
      </c>
      <c r="AH1" s="5" t="s">
        <v>813</v>
      </c>
      <c r="AI1" s="5" t="s">
        <v>1484</v>
      </c>
      <c r="AJ1" s="5" t="s">
        <v>1485</v>
      </c>
      <c r="AK1" s="5" t="s">
        <v>1486</v>
      </c>
      <c r="AL1" s="5" t="s">
        <v>1487</v>
      </c>
      <c r="AM1" s="5" t="s">
        <v>1488</v>
      </c>
      <c r="AN1" s="15" t="s">
        <v>1489</v>
      </c>
      <c r="AO1" s="15" t="s">
        <v>1490</v>
      </c>
      <c r="AP1" s="15" t="s">
        <v>1491</v>
      </c>
      <c r="AQ1" s="15" t="s">
        <v>1492</v>
      </c>
      <c r="AR1" s="15" t="s">
        <v>1493</v>
      </c>
    </row>
    <row r="2" customFormat="false" ht="23.85" hidden="false" customHeight="false" outlineLevel="0" collapsed="false">
      <c r="A2" s="11" t="n">
        <v>1</v>
      </c>
      <c r="B2" s="11" t="s">
        <v>818</v>
      </c>
      <c r="C2" s="11" t="n">
        <v>2024</v>
      </c>
      <c r="D2" s="11" t="s">
        <v>819</v>
      </c>
      <c r="E2" s="11" t="s">
        <v>821</v>
      </c>
      <c r="F2" s="11" t="s">
        <v>795</v>
      </c>
      <c r="G2" s="11" t="s">
        <v>1494</v>
      </c>
      <c r="H2" s="11" t="s">
        <v>822</v>
      </c>
      <c r="I2" s="11" t="s">
        <v>1495</v>
      </c>
      <c r="J2" s="11" t="s">
        <v>202</v>
      </c>
      <c r="K2" s="11" t="s">
        <v>20</v>
      </c>
      <c r="L2" s="11" t="s">
        <v>1041</v>
      </c>
      <c r="M2" s="11" t="s">
        <v>1040</v>
      </c>
      <c r="N2" s="11" t="s">
        <v>1040</v>
      </c>
      <c r="O2" s="11" t="s">
        <v>11</v>
      </c>
      <c r="P2" s="11"/>
      <c r="Q2" s="11"/>
      <c r="R2" s="11"/>
      <c r="S2" s="11"/>
      <c r="T2" s="11"/>
      <c r="U2" s="11" t="s">
        <v>1496</v>
      </c>
      <c r="V2" s="11" t="s">
        <v>1497</v>
      </c>
      <c r="W2" s="11" t="s">
        <v>1103</v>
      </c>
      <c r="X2" s="11" t="s">
        <v>1104</v>
      </c>
      <c r="Y2" s="11" t="s">
        <v>1105</v>
      </c>
      <c r="Z2" s="11" t="s">
        <v>1106</v>
      </c>
      <c r="AA2" s="11" t="s">
        <v>1107</v>
      </c>
      <c r="AB2" s="11" t="s">
        <v>1108</v>
      </c>
      <c r="AC2" s="11" t="s">
        <v>1498</v>
      </c>
      <c r="AD2" s="11" t="s">
        <v>1109</v>
      </c>
      <c r="AE2" s="11" t="s">
        <v>1109</v>
      </c>
      <c r="AF2" s="11" t="s">
        <v>1109</v>
      </c>
      <c r="AG2" s="11"/>
      <c r="AH2" s="11"/>
      <c r="AI2" s="11"/>
      <c r="AJ2" s="11" t="s">
        <v>52</v>
      </c>
      <c r="AK2" s="11" t="s">
        <v>1499</v>
      </c>
      <c r="AL2" s="11" t="s">
        <v>819</v>
      </c>
      <c r="AM2" s="11"/>
      <c r="AN2" s="11" t="s">
        <v>1500</v>
      </c>
      <c r="AO2" s="11" t="s">
        <v>1499</v>
      </c>
      <c r="AP2" s="11" t="s">
        <v>1501</v>
      </c>
      <c r="AQ2" s="11" t="s">
        <v>1502</v>
      </c>
      <c r="AR2" s="11" t="s">
        <v>1503</v>
      </c>
    </row>
    <row r="3" customFormat="false" ht="35.05" hidden="false" customHeight="false" outlineLevel="0" collapsed="false">
      <c r="A3" s="11" t="n">
        <v>2</v>
      </c>
      <c r="B3" s="11" t="s">
        <v>818</v>
      </c>
      <c r="C3" s="11" t="n">
        <v>2025</v>
      </c>
      <c r="D3" s="11" t="s">
        <v>824</v>
      </c>
      <c r="E3" s="11" t="s">
        <v>821</v>
      </c>
      <c r="F3" s="11" t="s">
        <v>795</v>
      </c>
      <c r="G3" s="11" t="s">
        <v>1494</v>
      </c>
      <c r="H3" s="11" t="s">
        <v>822</v>
      </c>
      <c r="I3" s="11" t="s">
        <v>1504</v>
      </c>
      <c r="J3" s="11" t="s">
        <v>826</v>
      </c>
      <c r="K3" s="11" t="s">
        <v>20</v>
      </c>
      <c r="L3" s="11" t="s">
        <v>1041</v>
      </c>
      <c r="M3" s="11" t="s">
        <v>1042</v>
      </c>
      <c r="N3" s="11" t="s">
        <v>1043</v>
      </c>
      <c r="O3" s="11" t="s">
        <v>11</v>
      </c>
      <c r="P3" s="11" t="s">
        <v>1062</v>
      </c>
      <c r="Q3" s="11"/>
      <c r="R3" s="11"/>
      <c r="S3" s="11"/>
      <c r="T3" s="11"/>
      <c r="U3" s="11" t="s">
        <v>1496</v>
      </c>
      <c r="V3" s="11" t="s">
        <v>1117</v>
      </c>
      <c r="W3" s="11" t="s">
        <v>1111</v>
      </c>
      <c r="X3" s="11" t="s">
        <v>1112</v>
      </c>
      <c r="Y3" s="11" t="s">
        <v>1113</v>
      </c>
      <c r="Z3" s="11" t="s">
        <v>1114</v>
      </c>
      <c r="AA3" s="11" t="s">
        <v>1115</v>
      </c>
      <c r="AB3" s="11" t="s">
        <v>1116</v>
      </c>
      <c r="AC3" s="11" t="s">
        <v>1505</v>
      </c>
      <c r="AD3" s="11" t="s">
        <v>1109</v>
      </c>
      <c r="AE3" s="11" t="s">
        <v>1109</v>
      </c>
      <c r="AF3" s="11" t="s">
        <v>1109</v>
      </c>
      <c r="AG3" s="11"/>
      <c r="AH3" s="11"/>
      <c r="AI3" s="11"/>
      <c r="AJ3" s="11" t="s">
        <v>52</v>
      </c>
      <c r="AK3" s="11" t="s">
        <v>1499</v>
      </c>
      <c r="AL3" s="11" t="s">
        <v>824</v>
      </c>
      <c r="AM3" s="11"/>
      <c r="AN3" s="11" t="s">
        <v>1506</v>
      </c>
      <c r="AO3" s="11" t="s">
        <v>1499</v>
      </c>
      <c r="AP3" s="11" t="s">
        <v>1501</v>
      </c>
      <c r="AQ3" s="11" t="s">
        <v>1502</v>
      </c>
      <c r="AR3" s="11" t="s">
        <v>1503</v>
      </c>
    </row>
    <row r="4" customFormat="false" ht="35.05" hidden="false" customHeight="false" outlineLevel="0" collapsed="false">
      <c r="A4" s="11" t="n">
        <v>3</v>
      </c>
      <c r="B4" s="11" t="s">
        <v>827</v>
      </c>
      <c r="C4" s="11" t="n">
        <v>2026</v>
      </c>
      <c r="D4" s="11" t="s">
        <v>828</v>
      </c>
      <c r="E4" s="11" t="s">
        <v>821</v>
      </c>
      <c r="F4" s="11" t="s">
        <v>795</v>
      </c>
      <c r="G4" s="11" t="s">
        <v>1494</v>
      </c>
      <c r="H4" s="11" t="s">
        <v>829</v>
      </c>
      <c r="I4" s="11" t="s">
        <v>1507</v>
      </c>
      <c r="J4" s="11" t="s">
        <v>225</v>
      </c>
      <c r="K4" s="11" t="s">
        <v>20</v>
      </c>
      <c r="L4" s="11" t="s">
        <v>1041</v>
      </c>
      <c r="M4" s="11"/>
      <c r="N4" s="11"/>
      <c r="O4" s="11" t="s">
        <v>11</v>
      </c>
      <c r="P4" s="11" t="s">
        <v>1508</v>
      </c>
      <c r="Q4" s="11"/>
      <c r="R4" s="11" t="s">
        <v>1068</v>
      </c>
      <c r="S4" s="11"/>
      <c r="T4" s="11"/>
      <c r="U4" s="11" t="s">
        <v>1509</v>
      </c>
      <c r="V4" s="11" t="s">
        <v>1497</v>
      </c>
      <c r="W4" s="11" t="s">
        <v>1118</v>
      </c>
      <c r="X4" s="11" t="s">
        <v>1119</v>
      </c>
      <c r="Y4" s="11" t="s">
        <v>1120</v>
      </c>
      <c r="Z4" s="11" t="s">
        <v>1121</v>
      </c>
      <c r="AA4" s="11" t="s">
        <v>1122</v>
      </c>
      <c r="AB4" s="11" t="s">
        <v>1123</v>
      </c>
      <c r="AC4" s="11" t="s">
        <v>1510</v>
      </c>
      <c r="AD4" s="11" t="s">
        <v>1109</v>
      </c>
      <c r="AE4" s="11" t="s">
        <v>1109</v>
      </c>
      <c r="AF4" s="11" t="s">
        <v>1109</v>
      </c>
      <c r="AG4" s="11"/>
      <c r="AH4" s="11"/>
      <c r="AI4" s="11"/>
      <c r="AJ4" s="11" t="s">
        <v>52</v>
      </c>
      <c r="AK4" s="11" t="s">
        <v>1499</v>
      </c>
      <c r="AL4" s="11" t="s">
        <v>828</v>
      </c>
      <c r="AM4" s="11"/>
      <c r="AN4" s="11" t="s">
        <v>1500</v>
      </c>
      <c r="AO4" s="11" t="s">
        <v>1499</v>
      </c>
      <c r="AP4" s="11" t="s">
        <v>1501</v>
      </c>
      <c r="AQ4" s="11" t="s">
        <v>1502</v>
      </c>
      <c r="AR4" s="11" t="s">
        <v>1503</v>
      </c>
    </row>
    <row r="5" customFormat="false" ht="35.05" hidden="false" customHeight="false" outlineLevel="0" collapsed="false">
      <c r="A5" s="11" t="n">
        <v>4</v>
      </c>
      <c r="B5" s="11" t="s">
        <v>830</v>
      </c>
      <c r="C5" s="11" t="n">
        <v>2025</v>
      </c>
      <c r="D5" s="11" t="s">
        <v>58</v>
      </c>
      <c r="E5" s="11" t="s">
        <v>821</v>
      </c>
      <c r="F5" s="11" t="s">
        <v>795</v>
      </c>
      <c r="G5" s="11" t="s">
        <v>1494</v>
      </c>
      <c r="H5" s="11" t="s">
        <v>831</v>
      </c>
      <c r="I5" s="11" t="s">
        <v>1511</v>
      </c>
      <c r="J5" s="11" t="s">
        <v>225</v>
      </c>
      <c r="K5" s="11" t="s">
        <v>832</v>
      </c>
      <c r="L5" s="11" t="s">
        <v>1041</v>
      </c>
      <c r="M5" s="11"/>
      <c r="N5" s="11"/>
      <c r="O5" s="11" t="s">
        <v>11</v>
      </c>
      <c r="P5" s="11" t="s">
        <v>1062</v>
      </c>
      <c r="Q5" s="11"/>
      <c r="R5" s="11"/>
      <c r="S5" s="11"/>
      <c r="T5" s="11"/>
      <c r="U5" s="11" t="s">
        <v>1512</v>
      </c>
      <c r="V5" s="11" t="s">
        <v>1130</v>
      </c>
      <c r="W5" s="11" t="s">
        <v>1124</v>
      </c>
      <c r="X5" s="11" t="s">
        <v>1125</v>
      </c>
      <c r="Y5" s="11" t="s">
        <v>1126</v>
      </c>
      <c r="Z5" s="11" t="s">
        <v>1127</v>
      </c>
      <c r="AA5" s="11" t="s">
        <v>1128</v>
      </c>
      <c r="AB5" s="11" t="s">
        <v>1129</v>
      </c>
      <c r="AC5" s="11" t="s">
        <v>1513</v>
      </c>
      <c r="AD5" s="11" t="s">
        <v>1109</v>
      </c>
      <c r="AE5" s="11" t="s">
        <v>1109</v>
      </c>
      <c r="AF5" s="11" t="s">
        <v>1109</v>
      </c>
      <c r="AG5" s="11"/>
      <c r="AH5" s="11"/>
      <c r="AI5" s="11"/>
      <c r="AJ5" s="11" t="s">
        <v>52</v>
      </c>
      <c r="AK5" s="11" t="s">
        <v>1499</v>
      </c>
      <c r="AL5" s="11" t="s">
        <v>833</v>
      </c>
      <c r="AM5" s="11"/>
      <c r="AN5" s="11" t="s">
        <v>1500</v>
      </c>
      <c r="AO5" s="11" t="s">
        <v>1499</v>
      </c>
      <c r="AP5" s="11" t="s">
        <v>1501</v>
      </c>
      <c r="AQ5" s="11" t="s">
        <v>1502</v>
      </c>
      <c r="AR5" s="11" t="s">
        <v>1503</v>
      </c>
    </row>
    <row r="6" customFormat="false" ht="35.05" hidden="false" customHeight="false" outlineLevel="0" collapsed="false">
      <c r="A6" s="11" t="n">
        <v>5</v>
      </c>
      <c r="B6" s="11" t="s">
        <v>834</v>
      </c>
      <c r="C6" s="11" t="n">
        <v>2022</v>
      </c>
      <c r="D6" s="11" t="s">
        <v>62</v>
      </c>
      <c r="E6" s="11" t="s">
        <v>21</v>
      </c>
      <c r="F6" s="11" t="s">
        <v>835</v>
      </c>
      <c r="G6" s="11" t="s">
        <v>1514</v>
      </c>
      <c r="H6" s="11" t="s">
        <v>836</v>
      </c>
      <c r="I6" s="11" t="s">
        <v>245</v>
      </c>
      <c r="J6" s="11" t="s">
        <v>245</v>
      </c>
      <c r="K6" s="11" t="s">
        <v>21</v>
      </c>
      <c r="L6" s="11" t="s">
        <v>1044</v>
      </c>
      <c r="M6" s="11"/>
      <c r="N6" s="11"/>
      <c r="O6" s="11" t="s">
        <v>17</v>
      </c>
      <c r="P6" s="11" t="s">
        <v>1062</v>
      </c>
      <c r="Q6" s="11"/>
      <c r="R6" s="11"/>
      <c r="S6" s="11"/>
      <c r="T6" s="11"/>
      <c r="U6" s="11" t="s">
        <v>1079</v>
      </c>
      <c r="V6" s="11" t="s">
        <v>1497</v>
      </c>
      <c r="W6" s="11" t="s">
        <v>1131</v>
      </c>
      <c r="X6" s="11" t="s">
        <v>1132</v>
      </c>
      <c r="Y6" s="11" t="s">
        <v>1133</v>
      </c>
      <c r="Z6" s="11" t="s">
        <v>1134</v>
      </c>
      <c r="AA6" s="11" t="s">
        <v>1135</v>
      </c>
      <c r="AB6" s="11" t="s">
        <v>1136</v>
      </c>
      <c r="AC6" s="11" t="s">
        <v>1515</v>
      </c>
      <c r="AD6" s="11" t="s">
        <v>1109</v>
      </c>
      <c r="AE6" s="11" t="s">
        <v>1109</v>
      </c>
      <c r="AF6" s="11" t="s">
        <v>1109</v>
      </c>
      <c r="AG6" s="11"/>
      <c r="AH6" s="11"/>
      <c r="AI6" s="11"/>
      <c r="AJ6" s="11" t="s">
        <v>52</v>
      </c>
      <c r="AK6" s="11" t="s">
        <v>1499</v>
      </c>
      <c r="AL6" s="11" t="s">
        <v>837</v>
      </c>
      <c r="AM6" s="11"/>
      <c r="AN6" s="11" t="s">
        <v>1506</v>
      </c>
      <c r="AO6" s="11" t="s">
        <v>1499</v>
      </c>
      <c r="AP6" s="11" t="s">
        <v>1501</v>
      </c>
      <c r="AQ6" s="11" t="s">
        <v>1502</v>
      </c>
      <c r="AR6" s="11" t="s">
        <v>1516</v>
      </c>
    </row>
    <row r="7" customFormat="false" ht="35.05" hidden="false" customHeight="false" outlineLevel="0" collapsed="false">
      <c r="A7" s="11" t="n">
        <v>6</v>
      </c>
      <c r="B7" s="11" t="s">
        <v>838</v>
      </c>
      <c r="C7" s="11" t="n">
        <v>2026</v>
      </c>
      <c r="D7" s="11" t="s">
        <v>839</v>
      </c>
      <c r="E7" s="11" t="s">
        <v>821</v>
      </c>
      <c r="F7" s="11" t="s">
        <v>835</v>
      </c>
      <c r="G7" s="11" t="s">
        <v>1517</v>
      </c>
      <c r="H7" s="11" t="s">
        <v>17</v>
      </c>
      <c r="I7" s="11" t="s">
        <v>1518</v>
      </c>
      <c r="J7" s="11" t="s">
        <v>840</v>
      </c>
      <c r="K7" s="11" t="s">
        <v>67</v>
      </c>
      <c r="L7" s="11" t="s">
        <v>1041</v>
      </c>
      <c r="M7" s="11"/>
      <c r="N7" s="11"/>
      <c r="O7" s="11" t="s">
        <v>17</v>
      </c>
      <c r="P7" s="11" t="s">
        <v>1062</v>
      </c>
      <c r="Q7" s="11"/>
      <c r="R7" s="11"/>
      <c r="S7" s="11"/>
      <c r="T7" s="11"/>
      <c r="U7" s="11" t="s">
        <v>1076</v>
      </c>
      <c r="V7" s="11" t="s">
        <v>1130</v>
      </c>
      <c r="W7" s="11" t="s">
        <v>1137</v>
      </c>
      <c r="X7" s="11" t="s">
        <v>1138</v>
      </c>
      <c r="Y7" s="11" t="s">
        <v>1139</v>
      </c>
      <c r="Z7" s="11" t="s">
        <v>1140</v>
      </c>
      <c r="AA7" s="11" t="s">
        <v>1141</v>
      </c>
      <c r="AB7" s="11" t="s">
        <v>1142</v>
      </c>
      <c r="AC7" s="11" t="s">
        <v>1519</v>
      </c>
      <c r="AD7" s="11" t="s">
        <v>1109</v>
      </c>
      <c r="AE7" s="11" t="s">
        <v>1109</v>
      </c>
      <c r="AF7" s="11" t="s">
        <v>1109</v>
      </c>
      <c r="AG7" s="11"/>
      <c r="AH7" s="11"/>
      <c r="AI7" s="11"/>
      <c r="AJ7" s="11" t="s">
        <v>52</v>
      </c>
      <c r="AK7" s="11" t="s">
        <v>1499</v>
      </c>
      <c r="AL7" s="11" t="s">
        <v>839</v>
      </c>
      <c r="AM7" s="11"/>
      <c r="AN7" s="11" t="s">
        <v>1506</v>
      </c>
      <c r="AO7" s="11" t="s">
        <v>1499</v>
      </c>
      <c r="AP7" s="11" t="s">
        <v>1501</v>
      </c>
      <c r="AQ7" s="11" t="s">
        <v>1502</v>
      </c>
      <c r="AR7" s="11" t="s">
        <v>1516</v>
      </c>
    </row>
    <row r="8" customFormat="false" ht="35.05" hidden="false" customHeight="false" outlineLevel="0" collapsed="false">
      <c r="A8" s="11" t="n">
        <v>7</v>
      </c>
      <c r="B8" s="11" t="s">
        <v>841</v>
      </c>
      <c r="C8" s="11" t="n">
        <v>2025</v>
      </c>
      <c r="D8" s="11" t="s">
        <v>842</v>
      </c>
      <c r="E8" s="11" t="s">
        <v>843</v>
      </c>
      <c r="F8" s="11" t="s">
        <v>795</v>
      </c>
      <c r="G8" s="11" t="s">
        <v>1494</v>
      </c>
      <c r="H8" s="11" t="s">
        <v>844</v>
      </c>
      <c r="I8" s="11" t="s">
        <v>1520</v>
      </c>
      <c r="J8" s="11" t="s">
        <v>845</v>
      </c>
      <c r="K8" s="11" t="s">
        <v>22</v>
      </c>
      <c r="L8" s="11" t="s">
        <v>1046</v>
      </c>
      <c r="M8" s="11" t="s">
        <v>1045</v>
      </c>
      <c r="N8" s="11"/>
      <c r="O8" s="11" t="s">
        <v>1521</v>
      </c>
      <c r="P8" s="11" t="s">
        <v>1522</v>
      </c>
      <c r="Q8" s="11"/>
      <c r="R8" s="11"/>
      <c r="S8" s="11"/>
      <c r="T8" s="11"/>
      <c r="U8" s="11" t="s">
        <v>1523</v>
      </c>
      <c r="V8" s="11" t="s">
        <v>1524</v>
      </c>
      <c r="W8" s="11" t="s">
        <v>1143</v>
      </c>
      <c r="X8" s="11" t="s">
        <v>1144</v>
      </c>
      <c r="Y8" s="11" t="s">
        <v>1145</v>
      </c>
      <c r="Z8" s="11" t="s">
        <v>1146</v>
      </c>
      <c r="AA8" s="11" t="s">
        <v>1147</v>
      </c>
      <c r="AB8" s="11" t="s">
        <v>1148</v>
      </c>
      <c r="AC8" s="11" t="s">
        <v>1525</v>
      </c>
      <c r="AD8" s="11" t="s">
        <v>1109</v>
      </c>
      <c r="AE8" s="11" t="s">
        <v>1109</v>
      </c>
      <c r="AF8" s="11" t="s">
        <v>1109</v>
      </c>
      <c r="AG8" s="11"/>
      <c r="AH8" s="11"/>
      <c r="AI8" s="11"/>
      <c r="AJ8" s="11" t="s">
        <v>52</v>
      </c>
      <c r="AK8" s="11" t="s">
        <v>1499</v>
      </c>
      <c r="AL8" s="11" t="s">
        <v>842</v>
      </c>
      <c r="AM8" s="11"/>
      <c r="AN8" s="11" t="s">
        <v>1500</v>
      </c>
      <c r="AO8" s="11" t="s">
        <v>1499</v>
      </c>
      <c r="AP8" s="11" t="s">
        <v>1501</v>
      </c>
      <c r="AQ8" s="11" t="s">
        <v>1502</v>
      </c>
      <c r="AR8" s="11" t="s">
        <v>1503</v>
      </c>
    </row>
    <row r="9" customFormat="false" ht="35.05" hidden="false" customHeight="false" outlineLevel="0" collapsed="false">
      <c r="A9" s="11" t="n">
        <v>8</v>
      </c>
      <c r="B9" s="11" t="s">
        <v>846</v>
      </c>
      <c r="C9" s="11" t="n">
        <v>2025</v>
      </c>
      <c r="D9" s="11" t="s">
        <v>847</v>
      </c>
      <c r="E9" s="11" t="s">
        <v>821</v>
      </c>
      <c r="F9" s="11" t="s">
        <v>795</v>
      </c>
      <c r="G9" s="11" t="s">
        <v>1494</v>
      </c>
      <c r="H9" s="11" t="s">
        <v>849</v>
      </c>
      <c r="I9" s="11" t="s">
        <v>1526</v>
      </c>
      <c r="J9" s="11" t="s">
        <v>840</v>
      </c>
      <c r="K9" s="11" t="s">
        <v>850</v>
      </c>
      <c r="L9" s="11" t="s">
        <v>1041</v>
      </c>
      <c r="M9" s="11"/>
      <c r="N9" s="11"/>
      <c r="O9" s="11" t="s">
        <v>17</v>
      </c>
      <c r="P9" s="11" t="s">
        <v>1062</v>
      </c>
      <c r="Q9" s="11"/>
      <c r="R9" s="11"/>
      <c r="S9" s="11"/>
      <c r="T9" s="11"/>
      <c r="U9" s="11" t="s">
        <v>1527</v>
      </c>
      <c r="V9" s="11" t="s">
        <v>1497</v>
      </c>
      <c r="W9" s="11" t="s">
        <v>1149</v>
      </c>
      <c r="X9" s="11" t="s">
        <v>1150</v>
      </c>
      <c r="Y9" s="11" t="s">
        <v>1151</v>
      </c>
      <c r="Z9" s="11" t="s">
        <v>1152</v>
      </c>
      <c r="AA9" s="11" t="s">
        <v>1153</v>
      </c>
      <c r="AB9" s="11" t="s">
        <v>1154</v>
      </c>
      <c r="AC9" s="11" t="s">
        <v>1528</v>
      </c>
      <c r="AD9" s="11" t="s">
        <v>1109</v>
      </c>
      <c r="AE9" s="11" t="s">
        <v>1109</v>
      </c>
      <c r="AF9" s="11" t="s">
        <v>1109</v>
      </c>
      <c r="AG9" s="11"/>
      <c r="AH9" s="11"/>
      <c r="AI9" s="11"/>
      <c r="AJ9" s="11" t="s">
        <v>52</v>
      </c>
      <c r="AK9" s="11" t="s">
        <v>1499</v>
      </c>
      <c r="AL9" s="11" t="s">
        <v>847</v>
      </c>
      <c r="AM9" s="11"/>
      <c r="AN9" s="11" t="s">
        <v>1500</v>
      </c>
      <c r="AO9" s="11" t="s">
        <v>1499</v>
      </c>
      <c r="AP9" s="11" t="s">
        <v>1501</v>
      </c>
      <c r="AQ9" s="11" t="s">
        <v>1502</v>
      </c>
      <c r="AR9" s="11" t="s">
        <v>1503</v>
      </c>
    </row>
    <row r="10" customFormat="false" ht="35.05" hidden="false" customHeight="false" outlineLevel="0" collapsed="false">
      <c r="A10" s="11" t="n">
        <v>9</v>
      </c>
      <c r="B10" s="11" t="s">
        <v>851</v>
      </c>
      <c r="C10" s="11" t="n">
        <v>2024</v>
      </c>
      <c r="D10" s="11" t="s">
        <v>852</v>
      </c>
      <c r="E10" s="11" t="s">
        <v>821</v>
      </c>
      <c r="F10" s="11" t="s">
        <v>795</v>
      </c>
      <c r="G10" s="11" t="s">
        <v>1494</v>
      </c>
      <c r="H10" s="11" t="s">
        <v>11</v>
      </c>
      <c r="I10" s="11" t="s">
        <v>1529</v>
      </c>
      <c r="J10" s="11" t="s">
        <v>225</v>
      </c>
      <c r="K10" s="11" t="s">
        <v>20</v>
      </c>
      <c r="L10" s="11" t="s">
        <v>1041</v>
      </c>
      <c r="M10" s="11"/>
      <c r="N10" s="11"/>
      <c r="O10" s="11" t="s">
        <v>17</v>
      </c>
      <c r="P10" s="11" t="s">
        <v>1062</v>
      </c>
      <c r="Q10" s="11"/>
      <c r="R10" s="11"/>
      <c r="S10" s="11"/>
      <c r="T10" s="11"/>
      <c r="U10" s="11" t="s">
        <v>1530</v>
      </c>
      <c r="V10" s="11" t="s">
        <v>1497</v>
      </c>
      <c r="W10" s="11" t="s">
        <v>1155</v>
      </c>
      <c r="X10" s="11" t="s">
        <v>1156</v>
      </c>
      <c r="Y10" s="11" t="s">
        <v>1157</v>
      </c>
      <c r="Z10" s="11" t="s">
        <v>1158</v>
      </c>
      <c r="AA10" s="11" t="s">
        <v>1159</v>
      </c>
      <c r="AB10" s="11" t="s">
        <v>1160</v>
      </c>
      <c r="AC10" s="11" t="s">
        <v>1531</v>
      </c>
      <c r="AD10" s="11" t="s">
        <v>1109</v>
      </c>
      <c r="AE10" s="11" t="s">
        <v>1109</v>
      </c>
      <c r="AF10" s="11" t="s">
        <v>1109</v>
      </c>
      <c r="AG10" s="11"/>
      <c r="AH10" s="11"/>
      <c r="AI10" s="11"/>
      <c r="AJ10" s="11" t="s">
        <v>52</v>
      </c>
      <c r="AK10" s="11" t="s">
        <v>1499</v>
      </c>
      <c r="AL10" s="11" t="s">
        <v>852</v>
      </c>
      <c r="AM10" s="11"/>
      <c r="AN10" s="11" t="s">
        <v>1506</v>
      </c>
      <c r="AO10" s="11" t="s">
        <v>1499</v>
      </c>
      <c r="AP10" s="11" t="s">
        <v>1501</v>
      </c>
      <c r="AQ10" s="11" t="s">
        <v>1502</v>
      </c>
      <c r="AR10" s="11" t="s">
        <v>1503</v>
      </c>
    </row>
    <row r="11" customFormat="false" ht="35.05" hidden="false" customHeight="false" outlineLevel="0" collapsed="false">
      <c r="A11" s="11" t="n">
        <v>10</v>
      </c>
      <c r="B11" s="11" t="s">
        <v>851</v>
      </c>
      <c r="C11" s="11" t="n">
        <v>2024</v>
      </c>
      <c r="D11" s="11" t="s">
        <v>852</v>
      </c>
      <c r="E11" s="11" t="s">
        <v>843</v>
      </c>
      <c r="F11" s="11" t="s">
        <v>297</v>
      </c>
      <c r="G11" s="11" t="s">
        <v>1532</v>
      </c>
      <c r="H11" s="11" t="s">
        <v>11</v>
      </c>
      <c r="I11" s="11" t="s">
        <v>1529</v>
      </c>
      <c r="J11" s="11" t="s">
        <v>225</v>
      </c>
      <c r="K11" s="11" t="s">
        <v>20</v>
      </c>
      <c r="L11" s="11" t="s">
        <v>1041</v>
      </c>
      <c r="M11" s="11"/>
      <c r="N11" s="11"/>
      <c r="O11" s="11" t="s">
        <v>11</v>
      </c>
      <c r="P11" s="11" t="s">
        <v>1062</v>
      </c>
      <c r="Q11" s="11"/>
      <c r="R11" s="11"/>
      <c r="S11" s="11"/>
      <c r="T11" s="11"/>
      <c r="U11" s="11" t="s">
        <v>1533</v>
      </c>
      <c r="V11" s="11" t="s">
        <v>1497</v>
      </c>
      <c r="W11" s="11" t="s">
        <v>1155</v>
      </c>
      <c r="X11" s="11" t="s">
        <v>1156</v>
      </c>
      <c r="Y11" s="11" t="s">
        <v>299</v>
      </c>
      <c r="Z11" s="11" t="s">
        <v>1161</v>
      </c>
      <c r="AA11" s="11" t="s">
        <v>301</v>
      </c>
      <c r="AB11" s="11" t="s">
        <v>302</v>
      </c>
      <c r="AC11" s="11" t="s">
        <v>305</v>
      </c>
      <c r="AD11" s="11" t="s">
        <v>1109</v>
      </c>
      <c r="AE11" s="11" t="s">
        <v>1109</v>
      </c>
      <c r="AF11" s="11" t="s">
        <v>1109</v>
      </c>
      <c r="AG11" s="11"/>
      <c r="AH11" s="11"/>
      <c r="AI11" s="11"/>
      <c r="AJ11" s="11" t="s">
        <v>52</v>
      </c>
      <c r="AK11" s="11" t="s">
        <v>1499</v>
      </c>
      <c r="AL11" s="11" t="s">
        <v>852</v>
      </c>
      <c r="AM11" s="11"/>
      <c r="AN11" s="11" t="s">
        <v>1506</v>
      </c>
      <c r="AO11" s="11" t="s">
        <v>1499</v>
      </c>
      <c r="AP11" s="11" t="s">
        <v>1501</v>
      </c>
      <c r="AQ11" s="11" t="s">
        <v>1502</v>
      </c>
      <c r="AR11" s="11" t="s">
        <v>1534</v>
      </c>
    </row>
    <row r="12" customFormat="false" ht="35.05" hidden="false" customHeight="false" outlineLevel="0" collapsed="false">
      <c r="A12" s="11" t="n">
        <v>11</v>
      </c>
      <c r="B12" s="11" t="s">
        <v>853</v>
      </c>
      <c r="C12" s="11" t="n">
        <v>2025</v>
      </c>
      <c r="D12" s="11" t="s">
        <v>854</v>
      </c>
      <c r="E12" s="11" t="s">
        <v>821</v>
      </c>
      <c r="F12" s="11" t="s">
        <v>795</v>
      </c>
      <c r="G12" s="11" t="s">
        <v>1494</v>
      </c>
      <c r="H12" s="11" t="s">
        <v>855</v>
      </c>
      <c r="I12" s="11" t="s">
        <v>1535</v>
      </c>
      <c r="J12" s="11" t="s">
        <v>856</v>
      </c>
      <c r="K12" s="11" t="s">
        <v>22</v>
      </c>
      <c r="L12" s="11" t="s">
        <v>1046</v>
      </c>
      <c r="M12" s="11" t="s">
        <v>1047</v>
      </c>
      <c r="N12" s="11"/>
      <c r="O12" s="11" t="s">
        <v>16</v>
      </c>
      <c r="P12" s="11"/>
      <c r="Q12" s="11"/>
      <c r="R12" s="11"/>
      <c r="S12" s="11"/>
      <c r="T12" s="11"/>
      <c r="U12" s="11" t="s">
        <v>1536</v>
      </c>
      <c r="V12" s="11" t="s">
        <v>1168</v>
      </c>
      <c r="W12" s="11" t="s">
        <v>1162</v>
      </c>
      <c r="X12" s="11" t="s">
        <v>1163</v>
      </c>
      <c r="Y12" s="11" t="s">
        <v>1164</v>
      </c>
      <c r="Z12" s="11" t="s">
        <v>1165</v>
      </c>
      <c r="AA12" s="11" t="s">
        <v>1166</v>
      </c>
      <c r="AB12" s="11" t="s">
        <v>1167</v>
      </c>
      <c r="AC12" s="11" t="s">
        <v>1537</v>
      </c>
      <c r="AD12" s="11" t="s">
        <v>1109</v>
      </c>
      <c r="AE12" s="11" t="s">
        <v>1109</v>
      </c>
      <c r="AF12" s="11" t="s">
        <v>1109</v>
      </c>
      <c r="AG12" s="11"/>
      <c r="AH12" s="11"/>
      <c r="AI12" s="11"/>
      <c r="AJ12" s="11" t="s">
        <v>52</v>
      </c>
      <c r="AK12" s="11" t="s">
        <v>1499</v>
      </c>
      <c r="AL12" s="11" t="s">
        <v>854</v>
      </c>
      <c r="AM12" s="11"/>
      <c r="AN12" s="11" t="s">
        <v>1500</v>
      </c>
      <c r="AO12" s="11" t="s">
        <v>1499</v>
      </c>
      <c r="AP12" s="11" t="s">
        <v>1501</v>
      </c>
      <c r="AQ12" s="11" t="s">
        <v>1502</v>
      </c>
      <c r="AR12" s="11" t="s">
        <v>1503</v>
      </c>
    </row>
    <row r="13" customFormat="false" ht="35.05" hidden="false" customHeight="false" outlineLevel="0" collapsed="false">
      <c r="A13" s="11" t="n">
        <v>12</v>
      </c>
      <c r="B13" s="11" t="s">
        <v>853</v>
      </c>
      <c r="C13" s="11" t="n">
        <v>2026</v>
      </c>
      <c r="D13" s="11" t="s">
        <v>857</v>
      </c>
      <c r="E13" s="11" t="s">
        <v>821</v>
      </c>
      <c r="F13" s="11" t="s">
        <v>795</v>
      </c>
      <c r="G13" s="11" t="s">
        <v>1494</v>
      </c>
      <c r="H13" s="11" t="s">
        <v>855</v>
      </c>
      <c r="I13" s="11" t="s">
        <v>1538</v>
      </c>
      <c r="J13" s="11" t="s">
        <v>858</v>
      </c>
      <c r="K13" s="11" t="s">
        <v>22</v>
      </c>
      <c r="L13" s="11" t="s">
        <v>1046</v>
      </c>
      <c r="M13" s="11"/>
      <c r="N13" s="11"/>
      <c r="O13" s="11" t="s">
        <v>16</v>
      </c>
      <c r="P13" s="11"/>
      <c r="Q13" s="11"/>
      <c r="R13" s="11"/>
      <c r="S13" s="11"/>
      <c r="T13" s="11"/>
      <c r="U13" s="11" t="s">
        <v>1539</v>
      </c>
      <c r="V13" s="11" t="s">
        <v>1175</v>
      </c>
      <c r="W13" s="11" t="s">
        <v>1169</v>
      </c>
      <c r="X13" s="11" t="s">
        <v>1170</v>
      </c>
      <c r="Y13" s="11" t="s">
        <v>1171</v>
      </c>
      <c r="Z13" s="11" t="s">
        <v>1172</v>
      </c>
      <c r="AA13" s="11" t="s">
        <v>1173</v>
      </c>
      <c r="AB13" s="11" t="s">
        <v>1174</v>
      </c>
      <c r="AC13" s="11" t="s">
        <v>1540</v>
      </c>
      <c r="AD13" s="11" t="s">
        <v>1109</v>
      </c>
      <c r="AE13" s="11" t="s">
        <v>1109</v>
      </c>
      <c r="AF13" s="11" t="s">
        <v>1109</v>
      </c>
      <c r="AG13" s="11"/>
      <c r="AH13" s="11"/>
      <c r="AI13" s="11"/>
      <c r="AJ13" s="11" t="s">
        <v>52</v>
      </c>
      <c r="AK13" s="11" t="s">
        <v>1499</v>
      </c>
      <c r="AL13" s="11" t="s">
        <v>857</v>
      </c>
      <c r="AM13" s="11"/>
      <c r="AN13" s="11" t="s">
        <v>1506</v>
      </c>
      <c r="AO13" s="11" t="s">
        <v>1499</v>
      </c>
      <c r="AP13" s="11" t="s">
        <v>1501</v>
      </c>
      <c r="AQ13" s="11" t="s">
        <v>1502</v>
      </c>
      <c r="AR13" s="11" t="s">
        <v>1503</v>
      </c>
    </row>
    <row r="14" customFormat="false" ht="35.05" hidden="false" customHeight="false" outlineLevel="0" collapsed="false">
      <c r="A14" s="11" t="n">
        <v>13</v>
      </c>
      <c r="B14" s="11" t="s">
        <v>859</v>
      </c>
      <c r="C14" s="11" t="n">
        <v>2020</v>
      </c>
      <c r="D14" s="11" t="s">
        <v>860</v>
      </c>
      <c r="E14" s="11" t="s">
        <v>821</v>
      </c>
      <c r="F14" s="11" t="s">
        <v>795</v>
      </c>
      <c r="G14" s="11" t="s">
        <v>1494</v>
      </c>
      <c r="H14" s="11" t="s">
        <v>861</v>
      </c>
      <c r="I14" s="11" t="s">
        <v>1541</v>
      </c>
      <c r="J14" s="11" t="s">
        <v>840</v>
      </c>
      <c r="K14" s="11" t="s">
        <v>862</v>
      </c>
      <c r="L14" s="11" t="s">
        <v>1044</v>
      </c>
      <c r="M14" s="11"/>
      <c r="N14" s="11"/>
      <c r="O14" s="11" t="s">
        <v>836</v>
      </c>
      <c r="P14" s="11" t="s">
        <v>1062</v>
      </c>
      <c r="Q14" s="11"/>
      <c r="R14" s="11"/>
      <c r="S14" s="11"/>
      <c r="T14" s="11"/>
      <c r="U14" s="11" t="s">
        <v>1542</v>
      </c>
      <c r="V14" s="11" t="s">
        <v>1497</v>
      </c>
      <c r="W14" s="11" t="s">
        <v>1176</v>
      </c>
      <c r="X14" s="11" t="s">
        <v>1177</v>
      </c>
      <c r="Y14" s="11" t="s">
        <v>1178</v>
      </c>
      <c r="Z14" s="11" t="s">
        <v>1179</v>
      </c>
      <c r="AA14" s="11" t="s">
        <v>1180</v>
      </c>
      <c r="AB14" s="11" t="s">
        <v>1181</v>
      </c>
      <c r="AC14" s="11" t="s">
        <v>1543</v>
      </c>
      <c r="AD14" s="11" t="s">
        <v>1109</v>
      </c>
      <c r="AE14" s="11" t="s">
        <v>1109</v>
      </c>
      <c r="AF14" s="11" t="s">
        <v>1109</v>
      </c>
      <c r="AG14" s="11"/>
      <c r="AH14" s="11"/>
      <c r="AI14" s="11"/>
      <c r="AJ14" s="11" t="s">
        <v>52</v>
      </c>
      <c r="AK14" s="11" t="s">
        <v>1499</v>
      </c>
      <c r="AL14" s="11" t="s">
        <v>860</v>
      </c>
      <c r="AM14" s="11"/>
      <c r="AN14" s="11" t="s">
        <v>1500</v>
      </c>
      <c r="AO14" s="11" t="s">
        <v>1499</v>
      </c>
      <c r="AP14" s="11" t="s">
        <v>1501</v>
      </c>
      <c r="AQ14" s="11" t="s">
        <v>1502</v>
      </c>
      <c r="AR14" s="11" t="s">
        <v>1503</v>
      </c>
    </row>
    <row r="15" customFormat="false" ht="35.05" hidden="false" customHeight="false" outlineLevel="0" collapsed="false">
      <c r="A15" s="11" t="n">
        <v>14</v>
      </c>
      <c r="B15" s="11" t="s">
        <v>863</v>
      </c>
      <c r="C15" s="11" t="n">
        <v>2024</v>
      </c>
      <c r="D15" s="11" t="s">
        <v>864</v>
      </c>
      <c r="E15" s="11" t="s">
        <v>821</v>
      </c>
      <c r="F15" s="11" t="s">
        <v>795</v>
      </c>
      <c r="G15" s="11" t="s">
        <v>1494</v>
      </c>
      <c r="H15" s="11" t="s">
        <v>865</v>
      </c>
      <c r="I15" s="11" t="s">
        <v>1544</v>
      </c>
      <c r="J15" s="11" t="s">
        <v>339</v>
      </c>
      <c r="K15" s="11" t="s">
        <v>22</v>
      </c>
      <c r="L15" s="11" t="s">
        <v>1046</v>
      </c>
      <c r="M15" s="11" t="s">
        <v>1047</v>
      </c>
      <c r="N15" s="11"/>
      <c r="O15" s="11" t="s">
        <v>16</v>
      </c>
      <c r="P15" s="11" t="s">
        <v>1062</v>
      </c>
      <c r="Q15" s="11"/>
      <c r="R15" s="11"/>
      <c r="S15" s="11"/>
      <c r="T15" s="11"/>
      <c r="U15" s="11" t="s">
        <v>1533</v>
      </c>
      <c r="V15" s="11" t="s">
        <v>1188</v>
      </c>
      <c r="W15" s="11" t="s">
        <v>1182</v>
      </c>
      <c r="X15" s="11" t="s">
        <v>1183</v>
      </c>
      <c r="Y15" s="11" t="s">
        <v>1184</v>
      </c>
      <c r="Z15" s="11" t="s">
        <v>1185</v>
      </c>
      <c r="AA15" s="11" t="s">
        <v>1186</v>
      </c>
      <c r="AB15" s="11" t="s">
        <v>1187</v>
      </c>
      <c r="AC15" s="11" t="s">
        <v>1545</v>
      </c>
      <c r="AD15" s="11" t="s">
        <v>1109</v>
      </c>
      <c r="AE15" s="11" t="s">
        <v>1109</v>
      </c>
      <c r="AF15" s="11" t="s">
        <v>1109</v>
      </c>
      <c r="AG15" s="11"/>
      <c r="AH15" s="11"/>
      <c r="AI15" s="11"/>
      <c r="AJ15" s="11" t="s">
        <v>52</v>
      </c>
      <c r="AK15" s="11" t="s">
        <v>1499</v>
      </c>
      <c r="AL15" s="11" t="s">
        <v>864</v>
      </c>
      <c r="AM15" s="11"/>
      <c r="AN15" s="11" t="s">
        <v>1500</v>
      </c>
      <c r="AO15" s="11" t="s">
        <v>1499</v>
      </c>
      <c r="AP15" s="11" t="s">
        <v>1501</v>
      </c>
      <c r="AQ15" s="11" t="s">
        <v>1502</v>
      </c>
      <c r="AR15" s="11" t="s">
        <v>1503</v>
      </c>
    </row>
    <row r="16" customFormat="false" ht="35.05" hidden="false" customHeight="false" outlineLevel="0" collapsed="false">
      <c r="A16" s="11" t="n">
        <v>15</v>
      </c>
      <c r="B16" s="11" t="s">
        <v>866</v>
      </c>
      <c r="C16" s="11" t="n">
        <v>2024</v>
      </c>
      <c r="D16" s="11" t="s">
        <v>88</v>
      </c>
      <c r="E16" s="11" t="s">
        <v>843</v>
      </c>
      <c r="F16" s="11" t="s">
        <v>795</v>
      </c>
      <c r="G16" s="11" t="s">
        <v>1494</v>
      </c>
      <c r="H16" s="11" t="s">
        <v>867</v>
      </c>
      <c r="I16" s="11" t="s">
        <v>1546</v>
      </c>
      <c r="J16" s="11" t="s">
        <v>202</v>
      </c>
      <c r="K16" s="11" t="s">
        <v>20</v>
      </c>
      <c r="L16" s="11" t="s">
        <v>1041</v>
      </c>
      <c r="M16" s="11" t="s">
        <v>1048</v>
      </c>
      <c r="N16" s="11"/>
      <c r="O16" s="11" t="s">
        <v>10</v>
      </c>
      <c r="P16" s="11"/>
      <c r="Q16" s="11"/>
      <c r="R16" s="11"/>
      <c r="S16" s="11"/>
      <c r="T16" s="11"/>
      <c r="U16" s="11" t="s">
        <v>1078</v>
      </c>
      <c r="V16" s="11" t="s">
        <v>1195</v>
      </c>
      <c r="W16" s="11" t="s">
        <v>1189</v>
      </c>
      <c r="X16" s="11" t="s">
        <v>1190</v>
      </c>
      <c r="Y16" s="11" t="s">
        <v>1191</v>
      </c>
      <c r="Z16" s="11" t="s">
        <v>1192</v>
      </c>
      <c r="AA16" s="11" t="s">
        <v>1193</v>
      </c>
      <c r="AB16" s="11" t="s">
        <v>1194</v>
      </c>
      <c r="AC16" s="11" t="s">
        <v>1547</v>
      </c>
      <c r="AD16" s="11" t="s">
        <v>1109</v>
      </c>
      <c r="AE16" s="11" t="s">
        <v>1109</v>
      </c>
      <c r="AF16" s="11" t="s">
        <v>1109</v>
      </c>
      <c r="AG16" s="11"/>
      <c r="AH16" s="11"/>
      <c r="AI16" s="11"/>
      <c r="AJ16" s="11" t="s">
        <v>52</v>
      </c>
      <c r="AK16" s="11" t="s">
        <v>1499</v>
      </c>
      <c r="AL16" s="11" t="s">
        <v>1548</v>
      </c>
      <c r="AM16" s="11"/>
      <c r="AN16" s="11" t="s">
        <v>1500</v>
      </c>
      <c r="AO16" s="11" t="s">
        <v>1499</v>
      </c>
      <c r="AP16" s="11" t="s">
        <v>1501</v>
      </c>
      <c r="AQ16" s="11" t="s">
        <v>1502</v>
      </c>
      <c r="AR16" s="11" t="s">
        <v>1503</v>
      </c>
    </row>
    <row r="17" customFormat="false" ht="35.05" hidden="false" customHeight="false" outlineLevel="0" collapsed="false">
      <c r="A17" s="11" t="n">
        <v>16</v>
      </c>
      <c r="B17" s="11" t="s">
        <v>868</v>
      </c>
      <c r="C17" s="11" t="n">
        <v>2026</v>
      </c>
      <c r="D17" s="11" t="s">
        <v>869</v>
      </c>
      <c r="E17" s="11" t="s">
        <v>821</v>
      </c>
      <c r="F17" s="11" t="s">
        <v>870</v>
      </c>
      <c r="G17" s="11" t="s">
        <v>1549</v>
      </c>
      <c r="H17" s="11" t="s">
        <v>14</v>
      </c>
      <c r="I17" s="11" t="s">
        <v>1550</v>
      </c>
      <c r="J17" s="11" t="s">
        <v>871</v>
      </c>
      <c r="K17" s="11" t="s">
        <v>89</v>
      </c>
      <c r="L17" s="11" t="s">
        <v>1046</v>
      </c>
      <c r="M17" s="11"/>
      <c r="N17" s="11"/>
      <c r="O17" s="11" t="s">
        <v>16</v>
      </c>
      <c r="P17" s="11" t="s">
        <v>1062</v>
      </c>
      <c r="Q17" s="11"/>
      <c r="R17" s="11"/>
      <c r="S17" s="11" t="s">
        <v>1069</v>
      </c>
      <c r="T17" s="11"/>
      <c r="U17" s="11" t="s">
        <v>1551</v>
      </c>
      <c r="V17" s="11" t="s">
        <v>1202</v>
      </c>
      <c r="W17" s="11" t="s">
        <v>1196</v>
      </c>
      <c r="X17" s="11" t="s">
        <v>1197</v>
      </c>
      <c r="Y17" s="11" t="s">
        <v>1198</v>
      </c>
      <c r="Z17" s="11" t="s">
        <v>1199</v>
      </c>
      <c r="AA17" s="11" t="s">
        <v>1200</v>
      </c>
      <c r="AB17" s="11" t="s">
        <v>1201</v>
      </c>
      <c r="AC17" s="11" t="s">
        <v>1552</v>
      </c>
      <c r="AD17" s="11" t="s">
        <v>8</v>
      </c>
      <c r="AE17" s="11" t="s">
        <v>1109</v>
      </c>
      <c r="AF17" s="11" t="s">
        <v>1109</v>
      </c>
      <c r="AG17" s="11"/>
      <c r="AH17" s="11"/>
      <c r="AI17" s="11"/>
      <c r="AJ17" s="11" t="s">
        <v>52</v>
      </c>
      <c r="AK17" s="11" t="s">
        <v>1499</v>
      </c>
      <c r="AL17" s="11" t="s">
        <v>869</v>
      </c>
      <c r="AM17" s="11"/>
      <c r="AN17" s="11" t="s">
        <v>1506</v>
      </c>
      <c r="AO17" s="11" t="s">
        <v>1499</v>
      </c>
      <c r="AP17" s="11" t="s">
        <v>1501</v>
      </c>
      <c r="AQ17" s="11" t="s">
        <v>1502</v>
      </c>
      <c r="AR17" s="11" t="s">
        <v>1553</v>
      </c>
    </row>
    <row r="18" customFormat="false" ht="35.05" hidden="false" customHeight="false" outlineLevel="0" collapsed="false">
      <c r="A18" s="11" t="n">
        <v>17</v>
      </c>
      <c r="B18" s="11" t="s">
        <v>872</v>
      </c>
      <c r="C18" s="11" t="n">
        <v>2025</v>
      </c>
      <c r="D18" s="11" t="s">
        <v>94</v>
      </c>
      <c r="E18" s="11" t="s">
        <v>821</v>
      </c>
      <c r="F18" s="11" t="s">
        <v>795</v>
      </c>
      <c r="G18" s="11" t="s">
        <v>1494</v>
      </c>
      <c r="H18" s="11" t="s">
        <v>873</v>
      </c>
      <c r="I18" s="11" t="s">
        <v>1554</v>
      </c>
      <c r="J18" s="11" t="s">
        <v>874</v>
      </c>
      <c r="K18" s="11" t="s">
        <v>67</v>
      </c>
      <c r="L18" s="11" t="s">
        <v>1041</v>
      </c>
      <c r="M18" s="11"/>
      <c r="N18" s="11"/>
      <c r="O18" s="11" t="s">
        <v>11</v>
      </c>
      <c r="P18" s="11"/>
      <c r="Q18" s="11"/>
      <c r="R18" s="11"/>
      <c r="S18" s="11"/>
      <c r="T18" s="11"/>
      <c r="U18" s="11" t="s">
        <v>1555</v>
      </c>
      <c r="V18" s="11" t="s">
        <v>1175</v>
      </c>
      <c r="W18" s="11" t="s">
        <v>1203</v>
      </c>
      <c r="X18" s="11" t="s">
        <v>1204</v>
      </c>
      <c r="Y18" s="11" t="s">
        <v>1205</v>
      </c>
      <c r="Z18" s="11" t="s">
        <v>1206</v>
      </c>
      <c r="AA18" s="11" t="s">
        <v>1207</v>
      </c>
      <c r="AB18" s="11" t="s">
        <v>1208</v>
      </c>
      <c r="AC18" s="11" t="s">
        <v>1556</v>
      </c>
      <c r="AD18" s="11" t="s">
        <v>1109</v>
      </c>
      <c r="AE18" s="11" t="s">
        <v>1109</v>
      </c>
      <c r="AF18" s="11" t="s">
        <v>1109</v>
      </c>
      <c r="AG18" s="11"/>
      <c r="AH18" s="11"/>
      <c r="AI18" s="11"/>
      <c r="AJ18" s="11" t="s">
        <v>52</v>
      </c>
      <c r="AK18" s="11" t="s">
        <v>1499</v>
      </c>
      <c r="AL18" s="11" t="s">
        <v>875</v>
      </c>
      <c r="AM18" s="11"/>
      <c r="AN18" s="11" t="s">
        <v>1500</v>
      </c>
      <c r="AO18" s="11" t="s">
        <v>1499</v>
      </c>
      <c r="AP18" s="11" t="s">
        <v>1501</v>
      </c>
      <c r="AQ18" s="11" t="s">
        <v>1502</v>
      </c>
      <c r="AR18" s="11" t="s">
        <v>1503</v>
      </c>
    </row>
    <row r="19" customFormat="false" ht="35.05" hidden="false" customHeight="false" outlineLevel="0" collapsed="false">
      <c r="A19" s="11" t="n">
        <v>18</v>
      </c>
      <c r="B19" s="11" t="s">
        <v>876</v>
      </c>
      <c r="C19" s="11" t="n">
        <v>2025</v>
      </c>
      <c r="D19" s="11" t="s">
        <v>877</v>
      </c>
      <c r="E19" s="11" t="s">
        <v>878</v>
      </c>
      <c r="F19" s="11" t="s">
        <v>795</v>
      </c>
      <c r="G19" s="11" t="s">
        <v>1494</v>
      </c>
      <c r="H19" s="11" t="s">
        <v>879</v>
      </c>
      <c r="I19" s="11" t="s">
        <v>1557</v>
      </c>
      <c r="J19" s="11" t="s">
        <v>826</v>
      </c>
      <c r="K19" s="11" t="s">
        <v>880</v>
      </c>
      <c r="L19" s="11" t="s">
        <v>1041</v>
      </c>
      <c r="M19" s="11"/>
      <c r="N19" s="11"/>
      <c r="O19" s="11" t="s">
        <v>17</v>
      </c>
      <c r="P19" s="11" t="s">
        <v>1062</v>
      </c>
      <c r="Q19" s="11"/>
      <c r="R19" s="11"/>
      <c r="S19" s="11"/>
      <c r="T19" s="11"/>
      <c r="U19" s="11" t="s">
        <v>1074</v>
      </c>
      <c r="V19" s="11" t="s">
        <v>1215</v>
      </c>
      <c r="W19" s="11" t="s">
        <v>1209</v>
      </c>
      <c r="X19" s="11" t="s">
        <v>1210</v>
      </c>
      <c r="Y19" s="11" t="s">
        <v>1211</v>
      </c>
      <c r="Z19" s="11" t="s">
        <v>1212</v>
      </c>
      <c r="AA19" s="11" t="s">
        <v>1213</v>
      </c>
      <c r="AB19" s="11" t="s">
        <v>1214</v>
      </c>
      <c r="AC19" s="11" t="s">
        <v>1558</v>
      </c>
      <c r="AD19" s="11" t="s">
        <v>1109</v>
      </c>
      <c r="AE19" s="11" t="s">
        <v>1109</v>
      </c>
      <c r="AF19" s="11" t="s">
        <v>1109</v>
      </c>
      <c r="AG19" s="11"/>
      <c r="AH19" s="11"/>
      <c r="AI19" s="11"/>
      <c r="AJ19" s="11" t="s">
        <v>52</v>
      </c>
      <c r="AK19" s="11" t="s">
        <v>1499</v>
      </c>
      <c r="AL19" s="11" t="s">
        <v>877</v>
      </c>
      <c r="AM19" s="11"/>
      <c r="AN19" s="11" t="s">
        <v>1500</v>
      </c>
      <c r="AO19" s="11" t="s">
        <v>1499</v>
      </c>
      <c r="AP19" s="11" t="s">
        <v>1501</v>
      </c>
      <c r="AQ19" s="11" t="s">
        <v>1502</v>
      </c>
      <c r="AR19" s="11" t="s">
        <v>1503</v>
      </c>
    </row>
    <row r="20" customFormat="false" ht="35.05" hidden="false" customHeight="false" outlineLevel="0" collapsed="false">
      <c r="A20" s="11" t="n">
        <v>19</v>
      </c>
      <c r="B20" s="11" t="s">
        <v>881</v>
      </c>
      <c r="C20" s="11" t="n">
        <v>2025</v>
      </c>
      <c r="D20" s="11" t="s">
        <v>882</v>
      </c>
      <c r="E20" s="11" t="s">
        <v>878</v>
      </c>
      <c r="F20" s="11" t="s">
        <v>795</v>
      </c>
      <c r="G20" s="11" t="s">
        <v>1494</v>
      </c>
      <c r="H20" s="11" t="s">
        <v>883</v>
      </c>
      <c r="I20" s="11" t="s">
        <v>1559</v>
      </c>
      <c r="J20" s="11" t="s">
        <v>392</v>
      </c>
      <c r="K20" s="11" t="s">
        <v>20</v>
      </c>
      <c r="L20" s="11" t="s">
        <v>1041</v>
      </c>
      <c r="M20" s="11" t="s">
        <v>1040</v>
      </c>
      <c r="N20" s="11" t="s">
        <v>1040</v>
      </c>
      <c r="O20" s="11" t="s">
        <v>17</v>
      </c>
      <c r="P20" s="11" t="s">
        <v>1508</v>
      </c>
      <c r="Q20" s="11"/>
      <c r="R20" s="11"/>
      <c r="S20" s="11"/>
      <c r="T20" s="11"/>
      <c r="U20" s="11" t="s">
        <v>1539</v>
      </c>
      <c r="V20" s="11" t="s">
        <v>1020</v>
      </c>
      <c r="W20" s="11" t="s">
        <v>1216</v>
      </c>
      <c r="X20" s="11" t="s">
        <v>1217</v>
      </c>
      <c r="Y20" s="11" t="s">
        <v>1218</v>
      </c>
      <c r="Z20" s="11" t="s">
        <v>1219</v>
      </c>
      <c r="AA20" s="11" t="s">
        <v>1220</v>
      </c>
      <c r="AB20" s="11" t="s">
        <v>1221</v>
      </c>
      <c r="AC20" s="11" t="s">
        <v>1560</v>
      </c>
      <c r="AD20" s="11" t="s">
        <v>1109</v>
      </c>
      <c r="AE20" s="11" t="s">
        <v>1109</v>
      </c>
      <c r="AF20" s="11" t="s">
        <v>1109</v>
      </c>
      <c r="AG20" s="11"/>
      <c r="AH20" s="11"/>
      <c r="AI20" s="11"/>
      <c r="AJ20" s="11" t="s">
        <v>52</v>
      </c>
      <c r="AK20" s="11" t="s">
        <v>1499</v>
      </c>
      <c r="AL20" s="11" t="s">
        <v>882</v>
      </c>
      <c r="AM20" s="11"/>
      <c r="AN20" s="11" t="s">
        <v>1500</v>
      </c>
      <c r="AO20" s="11" t="s">
        <v>1499</v>
      </c>
      <c r="AP20" s="11" t="s">
        <v>1501</v>
      </c>
      <c r="AQ20" s="11" t="s">
        <v>1502</v>
      </c>
      <c r="AR20" s="11" t="s">
        <v>1503</v>
      </c>
    </row>
    <row r="21" customFormat="false" ht="35.05" hidden="false" customHeight="false" outlineLevel="0" collapsed="false">
      <c r="A21" s="11" t="n">
        <v>20</v>
      </c>
      <c r="B21" s="11" t="s">
        <v>884</v>
      </c>
      <c r="C21" s="11" t="n">
        <v>2026</v>
      </c>
      <c r="D21" s="11" t="s">
        <v>885</v>
      </c>
      <c r="E21" s="11" t="s">
        <v>821</v>
      </c>
      <c r="F21" s="11" t="s">
        <v>795</v>
      </c>
      <c r="G21" s="11" t="s">
        <v>1494</v>
      </c>
      <c r="H21" s="11" t="s">
        <v>886</v>
      </c>
      <c r="I21" s="11" t="s">
        <v>1561</v>
      </c>
      <c r="J21" s="11" t="s">
        <v>858</v>
      </c>
      <c r="K21" s="11" t="s">
        <v>887</v>
      </c>
      <c r="L21" s="11" t="s">
        <v>1046</v>
      </c>
      <c r="M21" s="11" t="s">
        <v>1047</v>
      </c>
      <c r="N21" s="11"/>
      <c r="O21" s="11" t="s">
        <v>10</v>
      </c>
      <c r="P21" s="11" t="s">
        <v>1522</v>
      </c>
      <c r="Q21" s="11"/>
      <c r="R21" s="11"/>
      <c r="S21" s="11"/>
      <c r="T21" s="11"/>
      <c r="U21" s="11" t="s">
        <v>1079</v>
      </c>
      <c r="V21" s="11" t="s">
        <v>1215</v>
      </c>
      <c r="W21" s="11" t="s">
        <v>1222</v>
      </c>
      <c r="X21" s="11" t="s">
        <v>1223</v>
      </c>
      <c r="Y21" s="11" t="s">
        <v>1224</v>
      </c>
      <c r="Z21" s="11" t="s">
        <v>1225</v>
      </c>
      <c r="AA21" s="11" t="s">
        <v>1226</v>
      </c>
      <c r="AB21" s="11" t="s">
        <v>1227</v>
      </c>
      <c r="AC21" s="11" t="s">
        <v>1562</v>
      </c>
      <c r="AD21" s="11" t="s">
        <v>1109</v>
      </c>
      <c r="AE21" s="11" t="s">
        <v>1109</v>
      </c>
      <c r="AF21" s="11" t="s">
        <v>1109</v>
      </c>
      <c r="AG21" s="11"/>
      <c r="AH21" s="11"/>
      <c r="AI21" s="11"/>
      <c r="AJ21" s="11" t="s">
        <v>52</v>
      </c>
      <c r="AK21" s="11" t="s">
        <v>1499</v>
      </c>
      <c r="AL21" s="11" t="s">
        <v>885</v>
      </c>
      <c r="AM21" s="11"/>
      <c r="AN21" s="11" t="s">
        <v>1500</v>
      </c>
      <c r="AO21" s="11" t="s">
        <v>1499</v>
      </c>
      <c r="AP21" s="11" t="s">
        <v>1501</v>
      </c>
      <c r="AQ21" s="11" t="s">
        <v>1502</v>
      </c>
      <c r="AR21" s="11" t="s">
        <v>1503</v>
      </c>
    </row>
    <row r="22" customFormat="false" ht="35.05" hidden="false" customHeight="false" outlineLevel="0" collapsed="false">
      <c r="A22" s="11" t="n">
        <v>21</v>
      </c>
      <c r="B22" s="11" t="s">
        <v>884</v>
      </c>
      <c r="C22" s="11" t="n">
        <v>2026</v>
      </c>
      <c r="D22" s="11" t="s">
        <v>102</v>
      </c>
      <c r="E22" s="11" t="s">
        <v>21</v>
      </c>
      <c r="F22" s="11" t="s">
        <v>795</v>
      </c>
      <c r="G22" s="11" t="s">
        <v>1494</v>
      </c>
      <c r="H22" s="11" t="s">
        <v>888</v>
      </c>
      <c r="I22" s="11" t="s">
        <v>1563</v>
      </c>
      <c r="J22" s="11" t="s">
        <v>266</v>
      </c>
      <c r="K22" s="11" t="s">
        <v>889</v>
      </c>
      <c r="L22" s="11" t="s">
        <v>1046</v>
      </c>
      <c r="M22" s="11"/>
      <c r="N22" s="11"/>
      <c r="O22" s="11" t="s">
        <v>15</v>
      </c>
      <c r="P22" s="11" t="s">
        <v>1508</v>
      </c>
      <c r="Q22" s="11"/>
      <c r="R22" s="11"/>
      <c r="S22" s="11"/>
      <c r="T22" s="11"/>
      <c r="U22" s="11" t="s">
        <v>1564</v>
      </c>
      <c r="V22" s="11" t="s">
        <v>1215</v>
      </c>
      <c r="W22" s="11" t="s">
        <v>1228</v>
      </c>
      <c r="X22" s="11" t="s">
        <v>1229</v>
      </c>
      <c r="Y22" s="11" t="s">
        <v>1230</v>
      </c>
      <c r="Z22" s="11" t="s">
        <v>1231</v>
      </c>
      <c r="AA22" s="11" t="s">
        <v>1232</v>
      </c>
      <c r="AB22" s="11" t="s">
        <v>1233</v>
      </c>
      <c r="AC22" s="11" t="s">
        <v>1565</v>
      </c>
      <c r="AD22" s="11" t="s">
        <v>1109</v>
      </c>
      <c r="AE22" s="11" t="s">
        <v>1109</v>
      </c>
      <c r="AF22" s="11" t="s">
        <v>1109</v>
      </c>
      <c r="AG22" s="11"/>
      <c r="AH22" s="11"/>
      <c r="AI22" s="11"/>
      <c r="AJ22" s="11" t="s">
        <v>52</v>
      </c>
      <c r="AK22" s="11" t="s">
        <v>1499</v>
      </c>
      <c r="AL22" s="11" t="s">
        <v>890</v>
      </c>
      <c r="AM22" s="11"/>
      <c r="AN22" s="11" t="s">
        <v>1500</v>
      </c>
      <c r="AO22" s="11" t="s">
        <v>1499</v>
      </c>
      <c r="AP22" s="11" t="s">
        <v>1501</v>
      </c>
      <c r="AQ22" s="11" t="s">
        <v>1502</v>
      </c>
      <c r="AR22" s="11" t="s">
        <v>1503</v>
      </c>
    </row>
    <row r="23" customFormat="false" ht="35.05" hidden="false" customHeight="false" outlineLevel="0" collapsed="false">
      <c r="A23" s="11" t="n">
        <v>22</v>
      </c>
      <c r="B23" s="11" t="s">
        <v>891</v>
      </c>
      <c r="C23" s="11" t="n">
        <v>2025</v>
      </c>
      <c r="D23" s="11" t="s">
        <v>892</v>
      </c>
      <c r="E23" s="11" t="s">
        <v>821</v>
      </c>
      <c r="F23" s="11" t="s">
        <v>795</v>
      </c>
      <c r="G23" s="11" t="s">
        <v>1494</v>
      </c>
      <c r="H23" s="11" t="s">
        <v>893</v>
      </c>
      <c r="I23" s="11" t="s">
        <v>1566</v>
      </c>
      <c r="J23" s="11" t="s">
        <v>826</v>
      </c>
      <c r="K23" s="11" t="s">
        <v>894</v>
      </c>
      <c r="L23" s="11" t="s">
        <v>1046</v>
      </c>
      <c r="M23" s="11"/>
      <c r="N23" s="11"/>
      <c r="O23" s="11" t="s">
        <v>10</v>
      </c>
      <c r="P23" s="11" t="s">
        <v>1567</v>
      </c>
      <c r="Q23" s="11"/>
      <c r="R23" s="11"/>
      <c r="S23" s="11"/>
      <c r="T23" s="11"/>
      <c r="U23" s="11" t="s">
        <v>1568</v>
      </c>
      <c r="V23" s="11" t="s">
        <v>1117</v>
      </c>
      <c r="W23" s="11" t="s">
        <v>1234</v>
      </c>
      <c r="X23" s="11" t="s">
        <v>1235</v>
      </c>
      <c r="Y23" s="11" t="s">
        <v>1236</v>
      </c>
      <c r="Z23" s="11" t="s">
        <v>1237</v>
      </c>
      <c r="AA23" s="11" t="s">
        <v>1238</v>
      </c>
      <c r="AB23" s="11" t="s">
        <v>1239</v>
      </c>
      <c r="AC23" s="11" t="s">
        <v>1569</v>
      </c>
      <c r="AD23" s="11" t="s">
        <v>1109</v>
      </c>
      <c r="AE23" s="11" t="s">
        <v>1109</v>
      </c>
      <c r="AF23" s="11" t="s">
        <v>1109</v>
      </c>
      <c r="AG23" s="11"/>
      <c r="AH23" s="11"/>
      <c r="AI23" s="11"/>
      <c r="AJ23" s="11" t="s">
        <v>52</v>
      </c>
      <c r="AK23" s="11" t="s">
        <v>1499</v>
      </c>
      <c r="AL23" s="11" t="s">
        <v>892</v>
      </c>
      <c r="AM23" s="11"/>
      <c r="AN23" s="11" t="s">
        <v>1500</v>
      </c>
      <c r="AO23" s="11" t="s">
        <v>1499</v>
      </c>
      <c r="AP23" s="11" t="s">
        <v>1501</v>
      </c>
      <c r="AQ23" s="11" t="s">
        <v>1502</v>
      </c>
      <c r="AR23" s="11" t="s">
        <v>1503</v>
      </c>
    </row>
    <row r="24" customFormat="false" ht="35.05" hidden="false" customHeight="false" outlineLevel="0" collapsed="false">
      <c r="A24" s="11" t="n">
        <v>23</v>
      </c>
      <c r="B24" s="11" t="s">
        <v>895</v>
      </c>
      <c r="C24" s="11" t="n">
        <v>2024</v>
      </c>
      <c r="D24" s="11" t="s">
        <v>896</v>
      </c>
      <c r="E24" s="11" t="s">
        <v>843</v>
      </c>
      <c r="F24" s="11" t="s">
        <v>795</v>
      </c>
      <c r="G24" s="11" t="s">
        <v>1494</v>
      </c>
      <c r="H24" s="11" t="s">
        <v>897</v>
      </c>
      <c r="I24" s="11" t="s">
        <v>1570</v>
      </c>
      <c r="J24" s="11" t="s">
        <v>856</v>
      </c>
      <c r="K24" s="11" t="s">
        <v>67</v>
      </c>
      <c r="L24" s="11" t="s">
        <v>1041</v>
      </c>
      <c r="M24" s="11"/>
      <c r="N24" s="11"/>
      <c r="O24" s="11" t="s">
        <v>15</v>
      </c>
      <c r="P24" s="11"/>
      <c r="Q24" s="11" t="s">
        <v>1070</v>
      </c>
      <c r="R24" s="11"/>
      <c r="S24" s="11"/>
      <c r="T24" s="11"/>
      <c r="U24" s="11" t="s">
        <v>1536</v>
      </c>
      <c r="V24" s="11" t="s">
        <v>1245</v>
      </c>
      <c r="W24" s="11" t="s">
        <v>1240</v>
      </c>
      <c r="X24" s="11" t="s">
        <v>1144</v>
      </c>
      <c r="Y24" s="11" t="s">
        <v>1241</v>
      </c>
      <c r="Z24" s="11" t="s">
        <v>1242</v>
      </c>
      <c r="AA24" s="11" t="s">
        <v>1243</v>
      </c>
      <c r="AB24" s="11" t="s">
        <v>1244</v>
      </c>
      <c r="AC24" s="11" t="s">
        <v>1571</v>
      </c>
      <c r="AD24" s="11" t="s">
        <v>1109</v>
      </c>
      <c r="AE24" s="11" t="s">
        <v>1109</v>
      </c>
      <c r="AF24" s="11" t="s">
        <v>1109</v>
      </c>
      <c r="AG24" s="11"/>
      <c r="AH24" s="11"/>
      <c r="AI24" s="11"/>
      <c r="AJ24" s="11" t="s">
        <v>52</v>
      </c>
      <c r="AK24" s="11" t="s">
        <v>1499</v>
      </c>
      <c r="AL24" s="11" t="s">
        <v>896</v>
      </c>
      <c r="AM24" s="11"/>
      <c r="AN24" s="11" t="s">
        <v>1506</v>
      </c>
      <c r="AO24" s="11" t="s">
        <v>1499</v>
      </c>
      <c r="AP24" s="11" t="s">
        <v>1501</v>
      </c>
      <c r="AQ24" s="11" t="s">
        <v>1502</v>
      </c>
      <c r="AR24" s="11" t="s">
        <v>1503</v>
      </c>
    </row>
    <row r="25" customFormat="false" ht="35.05" hidden="false" customHeight="false" outlineLevel="0" collapsed="false">
      <c r="A25" s="11" t="n">
        <v>24</v>
      </c>
      <c r="B25" s="11" t="s">
        <v>898</v>
      </c>
      <c r="C25" s="11"/>
      <c r="D25" s="11" t="s">
        <v>899</v>
      </c>
      <c r="E25" s="11" t="s">
        <v>21</v>
      </c>
      <c r="F25" s="11" t="s">
        <v>835</v>
      </c>
      <c r="G25" s="11" t="s">
        <v>1572</v>
      </c>
      <c r="H25" s="11" t="s">
        <v>900</v>
      </c>
      <c r="I25" s="11" t="s">
        <v>443</v>
      </c>
      <c r="J25" s="11" t="s">
        <v>443</v>
      </c>
      <c r="K25" s="11" t="s">
        <v>109</v>
      </c>
      <c r="L25" s="11" t="s">
        <v>1044</v>
      </c>
      <c r="M25" s="11"/>
      <c r="N25" s="11"/>
      <c r="O25" s="11" t="s">
        <v>15</v>
      </c>
      <c r="P25" s="11"/>
      <c r="Q25" s="11"/>
      <c r="R25" s="11"/>
      <c r="S25" s="11"/>
      <c r="T25" s="11"/>
      <c r="U25" s="11" t="s">
        <v>1564</v>
      </c>
      <c r="V25" s="11" t="s">
        <v>1168</v>
      </c>
      <c r="W25" s="11" t="s">
        <v>1246</v>
      </c>
      <c r="X25" s="11" t="s">
        <v>1247</v>
      </c>
      <c r="Y25" s="11" t="s">
        <v>1248</v>
      </c>
      <c r="Z25" s="11" t="s">
        <v>1249</v>
      </c>
      <c r="AA25" s="11" t="s">
        <v>1250</v>
      </c>
      <c r="AB25" s="11" t="s">
        <v>1251</v>
      </c>
      <c r="AC25" s="11" t="s">
        <v>1573</v>
      </c>
      <c r="AD25" s="11" t="s">
        <v>1109</v>
      </c>
      <c r="AE25" s="11" t="s">
        <v>1109</v>
      </c>
      <c r="AF25" s="11" t="s">
        <v>1109</v>
      </c>
      <c r="AG25" s="11"/>
      <c r="AH25" s="11"/>
      <c r="AI25" s="11"/>
      <c r="AJ25" s="11" t="s">
        <v>52</v>
      </c>
      <c r="AK25" s="11" t="s">
        <v>1499</v>
      </c>
      <c r="AL25" s="11" t="s">
        <v>899</v>
      </c>
      <c r="AM25" s="11"/>
      <c r="AN25" s="11" t="s">
        <v>1506</v>
      </c>
      <c r="AO25" s="11" t="s">
        <v>1499</v>
      </c>
      <c r="AP25" s="11" t="s">
        <v>1501</v>
      </c>
      <c r="AQ25" s="11" t="s">
        <v>1502</v>
      </c>
      <c r="AR25" s="11" t="s">
        <v>1516</v>
      </c>
    </row>
    <row r="26" customFormat="false" ht="35.05" hidden="false" customHeight="false" outlineLevel="0" collapsed="false">
      <c r="A26" s="11" t="n">
        <v>25</v>
      </c>
      <c r="B26" s="11" t="s">
        <v>901</v>
      </c>
      <c r="C26" s="11" t="n">
        <v>2024</v>
      </c>
      <c r="D26" s="11" t="s">
        <v>902</v>
      </c>
      <c r="E26" s="11" t="s">
        <v>821</v>
      </c>
      <c r="F26" s="11" t="s">
        <v>795</v>
      </c>
      <c r="G26" s="11" t="s">
        <v>1494</v>
      </c>
      <c r="H26" s="11" t="s">
        <v>903</v>
      </c>
      <c r="I26" s="11" t="s">
        <v>1574</v>
      </c>
      <c r="J26" s="11" t="s">
        <v>266</v>
      </c>
      <c r="K26" s="11" t="s">
        <v>904</v>
      </c>
      <c r="L26" s="11" t="s">
        <v>1041</v>
      </c>
      <c r="M26" s="11"/>
      <c r="N26" s="11"/>
      <c r="O26" s="11" t="s">
        <v>15</v>
      </c>
      <c r="P26" s="11" t="s">
        <v>1062</v>
      </c>
      <c r="Q26" s="11"/>
      <c r="R26" s="11"/>
      <c r="S26" s="11"/>
      <c r="T26" s="11"/>
      <c r="U26" s="11" t="s">
        <v>1575</v>
      </c>
      <c r="V26" s="11" t="s">
        <v>1215</v>
      </c>
      <c r="W26" s="11" t="s">
        <v>1252</v>
      </c>
      <c r="X26" s="11" t="s">
        <v>1253</v>
      </c>
      <c r="Y26" s="11" t="s">
        <v>1254</v>
      </c>
      <c r="Z26" s="11" t="s">
        <v>1255</v>
      </c>
      <c r="AA26" s="11" t="s">
        <v>1256</v>
      </c>
      <c r="AB26" s="11" t="s">
        <v>1257</v>
      </c>
      <c r="AC26" s="11" t="s">
        <v>1576</v>
      </c>
      <c r="AD26" s="11" t="s">
        <v>1109</v>
      </c>
      <c r="AE26" s="11" t="s">
        <v>1109</v>
      </c>
      <c r="AF26" s="11" t="s">
        <v>1109</v>
      </c>
      <c r="AG26" s="11"/>
      <c r="AH26" s="11"/>
      <c r="AI26" s="11"/>
      <c r="AJ26" s="11" t="s">
        <v>52</v>
      </c>
      <c r="AK26" s="11" t="s">
        <v>1499</v>
      </c>
      <c r="AL26" s="11" t="s">
        <v>902</v>
      </c>
      <c r="AM26" s="11"/>
      <c r="AN26" s="11" t="s">
        <v>1500</v>
      </c>
      <c r="AO26" s="11" t="s">
        <v>1499</v>
      </c>
      <c r="AP26" s="11" t="s">
        <v>1501</v>
      </c>
      <c r="AQ26" s="11" t="s">
        <v>1502</v>
      </c>
      <c r="AR26" s="11" t="s">
        <v>1503</v>
      </c>
    </row>
    <row r="27" customFormat="false" ht="35.05" hidden="false" customHeight="false" outlineLevel="0" collapsed="false">
      <c r="A27" s="11" t="n">
        <v>26</v>
      </c>
      <c r="B27" s="11" t="s">
        <v>905</v>
      </c>
      <c r="C27" s="11" t="n">
        <v>2022</v>
      </c>
      <c r="D27" s="11" t="s">
        <v>906</v>
      </c>
      <c r="E27" s="11" t="s">
        <v>21</v>
      </c>
      <c r="F27" s="11" t="s">
        <v>795</v>
      </c>
      <c r="G27" s="11" t="s">
        <v>1494</v>
      </c>
      <c r="H27" s="11" t="s">
        <v>907</v>
      </c>
      <c r="I27" s="11" t="s">
        <v>1577</v>
      </c>
      <c r="J27" s="11" t="s">
        <v>202</v>
      </c>
      <c r="K27" s="11" t="s">
        <v>908</v>
      </c>
      <c r="L27" s="11" t="s">
        <v>1041</v>
      </c>
      <c r="M27" s="11"/>
      <c r="N27" s="11"/>
      <c r="O27" s="11" t="s">
        <v>11</v>
      </c>
      <c r="P27" s="11"/>
      <c r="Q27" s="11"/>
      <c r="R27" s="11"/>
      <c r="S27" s="11"/>
      <c r="T27" s="11"/>
      <c r="U27" s="11" t="s">
        <v>1575</v>
      </c>
      <c r="V27" s="11" t="s">
        <v>1130</v>
      </c>
      <c r="W27" s="11" t="s">
        <v>1258</v>
      </c>
      <c r="X27" s="11" t="s">
        <v>1259</v>
      </c>
      <c r="Y27" s="11" t="s">
        <v>1260</v>
      </c>
      <c r="Z27" s="11" t="s">
        <v>1261</v>
      </c>
      <c r="AA27" s="11" t="s">
        <v>1262</v>
      </c>
      <c r="AB27" s="11" t="s">
        <v>1263</v>
      </c>
      <c r="AC27" s="11" t="s">
        <v>1578</v>
      </c>
      <c r="AD27" s="11" t="s">
        <v>1109</v>
      </c>
      <c r="AE27" s="11" t="s">
        <v>1109</v>
      </c>
      <c r="AF27" s="11" t="s">
        <v>1109</v>
      </c>
      <c r="AG27" s="11"/>
      <c r="AH27" s="11"/>
      <c r="AI27" s="11"/>
      <c r="AJ27" s="11" t="s">
        <v>52</v>
      </c>
      <c r="AK27" s="11" t="s">
        <v>1499</v>
      </c>
      <c r="AL27" s="11" t="s">
        <v>906</v>
      </c>
      <c r="AM27" s="11"/>
      <c r="AN27" s="11" t="s">
        <v>1500</v>
      </c>
      <c r="AO27" s="11" t="s">
        <v>1499</v>
      </c>
      <c r="AP27" s="11" t="s">
        <v>1501</v>
      </c>
      <c r="AQ27" s="11" t="s">
        <v>1502</v>
      </c>
      <c r="AR27" s="11" t="s">
        <v>1503</v>
      </c>
    </row>
    <row r="28" customFormat="false" ht="35.05" hidden="false" customHeight="false" outlineLevel="0" collapsed="false">
      <c r="A28" s="11" t="n">
        <v>27</v>
      </c>
      <c r="B28" s="11" t="s">
        <v>909</v>
      </c>
      <c r="C28" s="11" t="n">
        <v>2025</v>
      </c>
      <c r="D28" s="11" t="s">
        <v>115</v>
      </c>
      <c r="E28" s="11" t="s">
        <v>821</v>
      </c>
      <c r="F28" s="11" t="s">
        <v>795</v>
      </c>
      <c r="G28" s="11" t="s">
        <v>1494</v>
      </c>
      <c r="H28" s="11" t="s">
        <v>910</v>
      </c>
      <c r="I28" s="11" t="s">
        <v>911</v>
      </c>
      <c r="J28" s="11" t="s">
        <v>911</v>
      </c>
      <c r="K28" s="11" t="s">
        <v>70</v>
      </c>
      <c r="L28" s="11" t="s">
        <v>1046</v>
      </c>
      <c r="M28" s="11"/>
      <c r="N28" s="11"/>
      <c r="O28" s="11" t="s">
        <v>15</v>
      </c>
      <c r="P28" s="11" t="s">
        <v>1508</v>
      </c>
      <c r="Q28" s="11"/>
      <c r="R28" s="11"/>
      <c r="S28" s="11"/>
      <c r="T28" s="11"/>
      <c r="U28" s="11" t="s">
        <v>1579</v>
      </c>
      <c r="V28" s="11" t="s">
        <v>1117</v>
      </c>
      <c r="W28" s="11" t="s">
        <v>1264</v>
      </c>
      <c r="X28" s="11" t="s">
        <v>1265</v>
      </c>
      <c r="Y28" s="11" t="s">
        <v>1266</v>
      </c>
      <c r="Z28" s="11" t="s">
        <v>1267</v>
      </c>
      <c r="AA28" s="11" t="s">
        <v>1268</v>
      </c>
      <c r="AB28" s="11" t="s">
        <v>1269</v>
      </c>
      <c r="AC28" s="11" t="s">
        <v>1580</v>
      </c>
      <c r="AD28" s="11" t="s">
        <v>1109</v>
      </c>
      <c r="AE28" s="11" t="s">
        <v>1109</v>
      </c>
      <c r="AF28" s="11" t="s">
        <v>1109</v>
      </c>
      <c r="AG28" s="11"/>
      <c r="AH28" s="11"/>
      <c r="AI28" s="11"/>
      <c r="AJ28" s="11" t="s">
        <v>52</v>
      </c>
      <c r="AK28" s="11" t="s">
        <v>1499</v>
      </c>
      <c r="AL28" s="11" t="s">
        <v>912</v>
      </c>
      <c r="AM28" s="11"/>
      <c r="AN28" s="11" t="s">
        <v>1506</v>
      </c>
      <c r="AO28" s="11" t="s">
        <v>1499</v>
      </c>
      <c r="AP28" s="11" t="s">
        <v>1501</v>
      </c>
      <c r="AQ28" s="11" t="s">
        <v>1502</v>
      </c>
      <c r="AR28" s="11" t="s">
        <v>1503</v>
      </c>
    </row>
    <row r="29" customFormat="false" ht="35.05" hidden="false" customHeight="false" outlineLevel="0" collapsed="false">
      <c r="A29" s="11" t="n">
        <v>28</v>
      </c>
      <c r="B29" s="11" t="s">
        <v>913</v>
      </c>
      <c r="C29" s="11" t="n">
        <v>2025</v>
      </c>
      <c r="D29" s="11" t="s">
        <v>914</v>
      </c>
      <c r="E29" s="11" t="s">
        <v>821</v>
      </c>
      <c r="F29" s="11" t="s">
        <v>795</v>
      </c>
      <c r="G29" s="11" t="s">
        <v>1494</v>
      </c>
      <c r="H29" s="11" t="s">
        <v>915</v>
      </c>
      <c r="I29" s="11" t="s">
        <v>1581</v>
      </c>
      <c r="J29" s="11" t="s">
        <v>266</v>
      </c>
      <c r="K29" s="11" t="s">
        <v>22</v>
      </c>
      <c r="L29" s="11" t="s">
        <v>1046</v>
      </c>
      <c r="M29" s="11" t="s">
        <v>1049</v>
      </c>
      <c r="N29" s="11" t="s">
        <v>1049</v>
      </c>
      <c r="O29" s="11" t="s">
        <v>10</v>
      </c>
      <c r="P29" s="11" t="s">
        <v>1062</v>
      </c>
      <c r="Q29" s="11"/>
      <c r="R29" s="11"/>
      <c r="S29" s="11"/>
      <c r="T29" s="11"/>
      <c r="U29" s="11" t="s">
        <v>1582</v>
      </c>
      <c r="V29" s="11" t="s">
        <v>1117</v>
      </c>
      <c r="W29" s="11" t="s">
        <v>1270</v>
      </c>
      <c r="X29" s="11" t="s">
        <v>1271</v>
      </c>
      <c r="Y29" s="11" t="s">
        <v>1272</v>
      </c>
      <c r="Z29" s="11" t="s">
        <v>1273</v>
      </c>
      <c r="AA29" s="11" t="s">
        <v>1274</v>
      </c>
      <c r="AB29" s="11" t="s">
        <v>1275</v>
      </c>
      <c r="AC29" s="11" t="s">
        <v>1583</v>
      </c>
      <c r="AD29" s="11" t="s">
        <v>8</v>
      </c>
      <c r="AE29" s="11" t="s">
        <v>1109</v>
      </c>
      <c r="AF29" s="11" t="s">
        <v>1109</v>
      </c>
      <c r="AG29" s="11"/>
      <c r="AH29" s="11"/>
      <c r="AI29" s="11"/>
      <c r="AJ29" s="11" t="s">
        <v>52</v>
      </c>
      <c r="AK29" s="11" t="s">
        <v>1499</v>
      </c>
      <c r="AL29" s="11" t="s">
        <v>914</v>
      </c>
      <c r="AM29" s="11"/>
      <c r="AN29" s="11" t="s">
        <v>1500</v>
      </c>
      <c r="AO29" s="11" t="s">
        <v>1499</v>
      </c>
      <c r="AP29" s="11" t="s">
        <v>1501</v>
      </c>
      <c r="AQ29" s="11" t="s">
        <v>1502</v>
      </c>
      <c r="AR29" s="11" t="s">
        <v>1503</v>
      </c>
    </row>
    <row r="30" customFormat="false" ht="35.05" hidden="false" customHeight="false" outlineLevel="0" collapsed="false">
      <c r="A30" s="11" t="n">
        <v>29</v>
      </c>
      <c r="B30" s="11" t="s">
        <v>916</v>
      </c>
      <c r="C30" s="11" t="n">
        <v>2025</v>
      </c>
      <c r="D30" s="11" t="s">
        <v>917</v>
      </c>
      <c r="E30" s="11" t="s">
        <v>821</v>
      </c>
      <c r="F30" s="11" t="s">
        <v>795</v>
      </c>
      <c r="G30" s="11" t="s">
        <v>1494</v>
      </c>
      <c r="H30" s="11" t="s">
        <v>919</v>
      </c>
      <c r="I30" s="11" t="s">
        <v>1584</v>
      </c>
      <c r="J30" s="11" t="s">
        <v>826</v>
      </c>
      <c r="K30" s="11" t="s">
        <v>89</v>
      </c>
      <c r="L30" s="11" t="s">
        <v>1046</v>
      </c>
      <c r="M30" s="11"/>
      <c r="N30" s="11"/>
      <c r="O30" s="11" t="s">
        <v>10</v>
      </c>
      <c r="P30" s="11" t="s">
        <v>1062</v>
      </c>
      <c r="Q30" s="11"/>
      <c r="R30" s="11"/>
      <c r="S30" s="11"/>
      <c r="T30" s="11"/>
      <c r="U30" s="11" t="s">
        <v>1585</v>
      </c>
      <c r="V30" s="11" t="s">
        <v>1282</v>
      </c>
      <c r="W30" s="11" t="s">
        <v>1276</v>
      </c>
      <c r="X30" s="11" t="s">
        <v>1277</v>
      </c>
      <c r="Y30" s="11" t="s">
        <v>1278</v>
      </c>
      <c r="Z30" s="11" t="s">
        <v>1279</v>
      </c>
      <c r="AA30" s="11" t="s">
        <v>1280</v>
      </c>
      <c r="AB30" s="11" t="s">
        <v>1281</v>
      </c>
      <c r="AC30" s="11" t="s">
        <v>1586</v>
      </c>
      <c r="AD30" s="11" t="s">
        <v>1109</v>
      </c>
      <c r="AE30" s="11" t="s">
        <v>1109</v>
      </c>
      <c r="AF30" s="11" t="s">
        <v>1109</v>
      </c>
      <c r="AG30" s="11"/>
      <c r="AH30" s="11"/>
      <c r="AI30" s="11"/>
      <c r="AJ30" s="11" t="s">
        <v>52</v>
      </c>
      <c r="AK30" s="11" t="s">
        <v>1499</v>
      </c>
      <c r="AL30" s="11" t="s">
        <v>917</v>
      </c>
      <c r="AM30" s="11"/>
      <c r="AN30" s="11" t="s">
        <v>1500</v>
      </c>
      <c r="AO30" s="11" t="s">
        <v>1499</v>
      </c>
      <c r="AP30" s="11" t="s">
        <v>1501</v>
      </c>
      <c r="AQ30" s="11" t="s">
        <v>1502</v>
      </c>
      <c r="AR30" s="11" t="s">
        <v>1503</v>
      </c>
    </row>
    <row r="31" customFormat="false" ht="35.05" hidden="false" customHeight="false" outlineLevel="0" collapsed="false">
      <c r="A31" s="11" t="n">
        <v>30</v>
      </c>
      <c r="B31" s="11" t="s">
        <v>920</v>
      </c>
      <c r="C31" s="11" t="n">
        <v>2024</v>
      </c>
      <c r="D31" s="11" t="s">
        <v>921</v>
      </c>
      <c r="E31" s="11" t="s">
        <v>821</v>
      </c>
      <c r="F31" s="11" t="s">
        <v>795</v>
      </c>
      <c r="G31" s="11" t="s">
        <v>1494</v>
      </c>
      <c r="H31" s="11" t="s">
        <v>922</v>
      </c>
      <c r="I31" s="11" t="s">
        <v>1587</v>
      </c>
      <c r="J31" s="11" t="s">
        <v>826</v>
      </c>
      <c r="K31" s="11" t="s">
        <v>20</v>
      </c>
      <c r="L31" s="11" t="s">
        <v>1041</v>
      </c>
      <c r="M31" s="11"/>
      <c r="N31" s="11"/>
      <c r="O31" s="11" t="s">
        <v>10</v>
      </c>
      <c r="P31" s="11" t="s">
        <v>1062</v>
      </c>
      <c r="Q31" s="11"/>
      <c r="R31" s="11"/>
      <c r="S31" s="11"/>
      <c r="T31" s="11"/>
      <c r="U31" s="11" t="s">
        <v>1588</v>
      </c>
      <c r="V31" s="11" t="s">
        <v>1117</v>
      </c>
      <c r="W31" s="11" t="s">
        <v>1283</v>
      </c>
      <c r="X31" s="11" t="s">
        <v>1284</v>
      </c>
      <c r="Y31" s="11" t="s">
        <v>1285</v>
      </c>
      <c r="Z31" s="11" t="s">
        <v>1286</v>
      </c>
      <c r="AA31" s="11" t="s">
        <v>1287</v>
      </c>
      <c r="AB31" s="11" t="s">
        <v>1288</v>
      </c>
      <c r="AC31" s="11" t="s">
        <v>1589</v>
      </c>
      <c r="AD31" s="11" t="s">
        <v>1109</v>
      </c>
      <c r="AE31" s="11" t="s">
        <v>1109</v>
      </c>
      <c r="AF31" s="11" t="s">
        <v>1109</v>
      </c>
      <c r="AG31" s="11"/>
      <c r="AH31" s="11"/>
      <c r="AI31" s="11"/>
      <c r="AJ31" s="11" t="s">
        <v>52</v>
      </c>
      <c r="AK31" s="11" t="s">
        <v>1499</v>
      </c>
      <c r="AL31" s="11" t="s">
        <v>921</v>
      </c>
      <c r="AM31" s="11"/>
      <c r="AN31" s="11" t="s">
        <v>1500</v>
      </c>
      <c r="AO31" s="11" t="s">
        <v>1499</v>
      </c>
      <c r="AP31" s="11" t="s">
        <v>1501</v>
      </c>
      <c r="AQ31" s="11" t="s">
        <v>1502</v>
      </c>
      <c r="AR31" s="11" t="s">
        <v>1503</v>
      </c>
    </row>
    <row r="32" customFormat="false" ht="35.05" hidden="false" customHeight="false" outlineLevel="0" collapsed="false">
      <c r="A32" s="11" t="n">
        <v>31</v>
      </c>
      <c r="B32" s="11" t="s">
        <v>923</v>
      </c>
      <c r="C32" s="11" t="n">
        <v>2022</v>
      </c>
      <c r="D32" s="11" t="s">
        <v>924</v>
      </c>
      <c r="E32" s="11" t="s">
        <v>21</v>
      </c>
      <c r="F32" s="11" t="s">
        <v>795</v>
      </c>
      <c r="G32" s="11" t="s">
        <v>1494</v>
      </c>
      <c r="H32" s="11" t="s">
        <v>925</v>
      </c>
      <c r="I32" s="11" t="s">
        <v>225</v>
      </c>
      <c r="J32" s="11" t="s">
        <v>225</v>
      </c>
      <c r="K32" s="11" t="s">
        <v>926</v>
      </c>
      <c r="L32" s="11" t="s">
        <v>1041</v>
      </c>
      <c r="M32" s="11"/>
      <c r="N32" s="11"/>
      <c r="O32" s="11" t="s">
        <v>11</v>
      </c>
      <c r="P32" s="11" t="s">
        <v>1062</v>
      </c>
      <c r="Q32" s="11"/>
      <c r="R32" s="11"/>
      <c r="S32" s="11"/>
      <c r="T32" s="11"/>
      <c r="U32" s="11" t="s">
        <v>1079</v>
      </c>
      <c r="V32" s="11" t="s">
        <v>1497</v>
      </c>
      <c r="W32" s="11" t="s">
        <v>1289</v>
      </c>
      <c r="X32" s="11" t="s">
        <v>1290</v>
      </c>
      <c r="Y32" s="11" t="s">
        <v>1291</v>
      </c>
      <c r="Z32" s="11" t="s">
        <v>1292</v>
      </c>
      <c r="AA32" s="11" t="s">
        <v>1293</v>
      </c>
      <c r="AB32" s="11" t="s">
        <v>1294</v>
      </c>
      <c r="AC32" s="11" t="s">
        <v>1590</v>
      </c>
      <c r="AD32" s="11" t="s">
        <v>1109</v>
      </c>
      <c r="AE32" s="11" t="s">
        <v>1109</v>
      </c>
      <c r="AF32" s="11" t="s">
        <v>1109</v>
      </c>
      <c r="AG32" s="11"/>
      <c r="AH32" s="11"/>
      <c r="AI32" s="11"/>
      <c r="AJ32" s="11" t="s">
        <v>52</v>
      </c>
      <c r="AK32" s="11" t="s">
        <v>1499</v>
      </c>
      <c r="AL32" s="11" t="s">
        <v>924</v>
      </c>
      <c r="AM32" s="11"/>
      <c r="AN32" s="11" t="s">
        <v>1500</v>
      </c>
      <c r="AO32" s="11" t="s">
        <v>1499</v>
      </c>
      <c r="AP32" s="11" t="s">
        <v>1501</v>
      </c>
      <c r="AQ32" s="11" t="s">
        <v>1502</v>
      </c>
      <c r="AR32" s="11" t="s">
        <v>1503</v>
      </c>
    </row>
    <row r="33" customFormat="false" ht="35.05" hidden="false" customHeight="false" outlineLevel="0" collapsed="false">
      <c r="A33" s="11" t="n">
        <v>32</v>
      </c>
      <c r="B33" s="11" t="s">
        <v>927</v>
      </c>
      <c r="C33" s="11" t="n">
        <v>2024</v>
      </c>
      <c r="D33" s="11" t="s">
        <v>928</v>
      </c>
      <c r="E33" s="11" t="s">
        <v>21</v>
      </c>
      <c r="F33" s="11" t="s">
        <v>795</v>
      </c>
      <c r="G33" s="11" t="s">
        <v>1494</v>
      </c>
      <c r="H33" s="11" t="s">
        <v>929</v>
      </c>
      <c r="I33" s="11" t="s">
        <v>225</v>
      </c>
      <c r="J33" s="11" t="s">
        <v>225</v>
      </c>
      <c r="K33" s="11" t="s">
        <v>930</v>
      </c>
      <c r="L33" s="11" t="s">
        <v>1044</v>
      </c>
      <c r="M33" s="11"/>
      <c r="N33" s="11"/>
      <c r="O33" s="11" t="s">
        <v>836</v>
      </c>
      <c r="P33" s="11" t="s">
        <v>1062</v>
      </c>
      <c r="Q33" s="11"/>
      <c r="R33" s="11"/>
      <c r="S33" s="11"/>
      <c r="T33" s="11"/>
      <c r="U33" s="11" t="s">
        <v>1536</v>
      </c>
      <c r="V33" s="11" t="s">
        <v>1130</v>
      </c>
      <c r="W33" s="11" t="s">
        <v>1295</v>
      </c>
      <c r="X33" s="11" t="s">
        <v>1296</v>
      </c>
      <c r="Y33" s="11" t="s">
        <v>1297</v>
      </c>
      <c r="Z33" s="11" t="s">
        <v>1298</v>
      </c>
      <c r="AA33" s="11" t="s">
        <v>1299</v>
      </c>
      <c r="AB33" s="11" t="s">
        <v>1300</v>
      </c>
      <c r="AC33" s="11" t="s">
        <v>1591</v>
      </c>
      <c r="AD33" s="11" t="s">
        <v>1109</v>
      </c>
      <c r="AE33" s="11" t="s">
        <v>1109</v>
      </c>
      <c r="AF33" s="11" t="s">
        <v>1109</v>
      </c>
      <c r="AG33" s="11"/>
      <c r="AH33" s="11"/>
      <c r="AI33" s="11"/>
      <c r="AJ33" s="11" t="s">
        <v>52</v>
      </c>
      <c r="AK33" s="11" t="s">
        <v>1499</v>
      </c>
      <c r="AL33" s="11" t="s">
        <v>928</v>
      </c>
      <c r="AM33" s="11"/>
      <c r="AN33" s="11" t="s">
        <v>1506</v>
      </c>
      <c r="AO33" s="11" t="s">
        <v>1499</v>
      </c>
      <c r="AP33" s="11" t="s">
        <v>1501</v>
      </c>
      <c r="AQ33" s="11" t="s">
        <v>1502</v>
      </c>
      <c r="AR33" s="11" t="s">
        <v>1503</v>
      </c>
    </row>
    <row r="34" customFormat="false" ht="35.05" hidden="false" customHeight="false" outlineLevel="0" collapsed="false">
      <c r="A34" s="11" t="n">
        <v>33</v>
      </c>
      <c r="B34" s="11" t="s">
        <v>931</v>
      </c>
      <c r="C34" s="11" t="n">
        <v>2026</v>
      </c>
      <c r="D34" s="11" t="s">
        <v>932</v>
      </c>
      <c r="E34" s="11" t="s">
        <v>821</v>
      </c>
      <c r="F34" s="11" t="s">
        <v>795</v>
      </c>
      <c r="G34" s="11" t="s">
        <v>1494</v>
      </c>
      <c r="H34" s="11" t="s">
        <v>933</v>
      </c>
      <c r="I34" s="11" t="s">
        <v>1592</v>
      </c>
      <c r="J34" s="11" t="s">
        <v>533</v>
      </c>
      <c r="K34" s="11" t="s">
        <v>19</v>
      </c>
      <c r="L34" s="11" t="s">
        <v>1044</v>
      </c>
      <c r="M34" s="11"/>
      <c r="N34" s="11"/>
      <c r="O34" s="11" t="s">
        <v>16</v>
      </c>
      <c r="P34" s="11"/>
      <c r="Q34" s="11"/>
      <c r="R34" s="11"/>
      <c r="S34" s="11"/>
      <c r="T34" s="11"/>
      <c r="U34" s="11" t="s">
        <v>1539</v>
      </c>
      <c r="V34" s="11" t="s">
        <v>1195</v>
      </c>
      <c r="W34" s="11" t="s">
        <v>1301</v>
      </c>
      <c r="X34" s="11" t="s">
        <v>1302</v>
      </c>
      <c r="Y34" s="11" t="s">
        <v>1303</v>
      </c>
      <c r="Z34" s="11" t="s">
        <v>1304</v>
      </c>
      <c r="AA34" s="11" t="s">
        <v>1305</v>
      </c>
      <c r="AB34" s="11" t="s">
        <v>1306</v>
      </c>
      <c r="AC34" s="11" t="s">
        <v>1593</v>
      </c>
      <c r="AD34" s="11" t="s">
        <v>1109</v>
      </c>
      <c r="AE34" s="11" t="s">
        <v>1109</v>
      </c>
      <c r="AF34" s="11" t="s">
        <v>1109</v>
      </c>
      <c r="AG34" s="11"/>
      <c r="AH34" s="11"/>
      <c r="AI34" s="11"/>
      <c r="AJ34" s="11" t="s">
        <v>52</v>
      </c>
      <c r="AK34" s="11" t="s">
        <v>1499</v>
      </c>
      <c r="AL34" s="11" t="s">
        <v>932</v>
      </c>
      <c r="AM34" s="11"/>
      <c r="AN34" s="11" t="s">
        <v>1506</v>
      </c>
      <c r="AO34" s="11" t="s">
        <v>1499</v>
      </c>
      <c r="AP34" s="11" t="s">
        <v>1501</v>
      </c>
      <c r="AQ34" s="11" t="s">
        <v>1502</v>
      </c>
      <c r="AR34" s="11" t="s">
        <v>1503</v>
      </c>
    </row>
    <row r="35" customFormat="false" ht="35.05" hidden="false" customHeight="false" outlineLevel="0" collapsed="false">
      <c r="A35" s="11" t="n">
        <v>34</v>
      </c>
      <c r="B35" s="11" t="s">
        <v>934</v>
      </c>
      <c r="C35" s="11" t="n">
        <v>2024</v>
      </c>
      <c r="D35" s="11" t="s">
        <v>935</v>
      </c>
      <c r="E35" s="11" t="s">
        <v>821</v>
      </c>
      <c r="F35" s="11" t="s">
        <v>795</v>
      </c>
      <c r="G35" s="11" t="s">
        <v>1494</v>
      </c>
      <c r="H35" s="11" t="s">
        <v>936</v>
      </c>
      <c r="I35" s="11" t="s">
        <v>1594</v>
      </c>
      <c r="J35" s="11" t="s">
        <v>266</v>
      </c>
      <c r="K35" s="11" t="s">
        <v>22</v>
      </c>
      <c r="L35" s="11" t="s">
        <v>1046</v>
      </c>
      <c r="M35" s="11"/>
      <c r="N35" s="11"/>
      <c r="O35" s="11" t="s">
        <v>14</v>
      </c>
      <c r="P35" s="11" t="s">
        <v>1508</v>
      </c>
      <c r="Q35" s="11"/>
      <c r="R35" s="11"/>
      <c r="S35" s="11"/>
      <c r="T35" s="11"/>
      <c r="U35" s="11" t="s">
        <v>1595</v>
      </c>
      <c r="V35" s="11" t="s">
        <v>1117</v>
      </c>
      <c r="W35" s="11" t="s">
        <v>1307</v>
      </c>
      <c r="X35" s="11" t="s">
        <v>1308</v>
      </c>
      <c r="Y35" s="11" t="s">
        <v>1309</v>
      </c>
      <c r="Z35" s="11" t="s">
        <v>1310</v>
      </c>
      <c r="AA35" s="11" t="s">
        <v>1311</v>
      </c>
      <c r="AB35" s="11" t="s">
        <v>1312</v>
      </c>
      <c r="AC35" s="11" t="s">
        <v>1596</v>
      </c>
      <c r="AD35" s="11" t="s">
        <v>1109</v>
      </c>
      <c r="AE35" s="11" t="s">
        <v>1109</v>
      </c>
      <c r="AF35" s="11" t="s">
        <v>1109</v>
      </c>
      <c r="AG35" s="11"/>
      <c r="AH35" s="11"/>
      <c r="AI35" s="11"/>
      <c r="AJ35" s="11" t="s">
        <v>52</v>
      </c>
      <c r="AK35" s="11" t="s">
        <v>1499</v>
      </c>
      <c r="AL35" s="11" t="s">
        <v>935</v>
      </c>
      <c r="AM35" s="11"/>
      <c r="AN35" s="11" t="s">
        <v>1506</v>
      </c>
      <c r="AO35" s="11" t="s">
        <v>1499</v>
      </c>
      <c r="AP35" s="11" t="s">
        <v>1501</v>
      </c>
      <c r="AQ35" s="11" t="s">
        <v>1502</v>
      </c>
      <c r="AR35" s="11" t="s">
        <v>1503</v>
      </c>
    </row>
    <row r="36" customFormat="false" ht="35.05" hidden="false" customHeight="false" outlineLevel="0" collapsed="false">
      <c r="A36" s="11" t="n">
        <v>35</v>
      </c>
      <c r="B36" s="11" t="s">
        <v>937</v>
      </c>
      <c r="C36" s="11" t="n">
        <v>2025</v>
      </c>
      <c r="D36" s="11" t="s">
        <v>132</v>
      </c>
      <c r="E36" s="11" t="s">
        <v>843</v>
      </c>
      <c r="F36" s="11" t="s">
        <v>835</v>
      </c>
      <c r="G36" s="11" t="s">
        <v>1597</v>
      </c>
      <c r="H36" s="11" t="s">
        <v>16</v>
      </c>
      <c r="I36" s="11" t="s">
        <v>245</v>
      </c>
      <c r="J36" s="11" t="s">
        <v>339</v>
      </c>
      <c r="K36" s="11" t="s">
        <v>22</v>
      </c>
      <c r="L36" s="11" t="s">
        <v>1046</v>
      </c>
      <c r="M36" s="11"/>
      <c r="N36" s="11"/>
      <c r="O36" s="11" t="s">
        <v>16</v>
      </c>
      <c r="P36" s="11" t="s">
        <v>1062</v>
      </c>
      <c r="Q36" s="11"/>
      <c r="R36" s="11"/>
      <c r="S36" s="11"/>
      <c r="T36" s="11"/>
      <c r="U36" s="11" t="s">
        <v>1598</v>
      </c>
      <c r="V36" s="11" t="s">
        <v>1318</v>
      </c>
      <c r="W36" s="11" t="s">
        <v>1313</v>
      </c>
      <c r="X36" s="11" t="s">
        <v>555</v>
      </c>
      <c r="Y36" s="11" t="s">
        <v>1314</v>
      </c>
      <c r="Z36" s="11" t="s">
        <v>1315</v>
      </c>
      <c r="AA36" s="11" t="s">
        <v>1316</v>
      </c>
      <c r="AB36" s="11" t="s">
        <v>1317</v>
      </c>
      <c r="AC36" s="11" t="s">
        <v>1599</v>
      </c>
      <c r="AD36" s="11" t="s">
        <v>1109</v>
      </c>
      <c r="AE36" s="11" t="s">
        <v>1109</v>
      </c>
      <c r="AF36" s="11" t="s">
        <v>1109</v>
      </c>
      <c r="AG36" s="11"/>
      <c r="AH36" s="11"/>
      <c r="AI36" s="11"/>
      <c r="AJ36" s="11" t="s">
        <v>52</v>
      </c>
      <c r="AK36" s="11" t="s">
        <v>1499</v>
      </c>
      <c r="AL36" s="11" t="s">
        <v>938</v>
      </c>
      <c r="AM36" s="11"/>
      <c r="AN36" s="11" t="s">
        <v>1506</v>
      </c>
      <c r="AO36" s="11" t="s">
        <v>1499</v>
      </c>
      <c r="AP36" s="11" t="s">
        <v>1501</v>
      </c>
      <c r="AQ36" s="11" t="s">
        <v>1502</v>
      </c>
      <c r="AR36" s="11" t="s">
        <v>1516</v>
      </c>
    </row>
    <row r="37" customFormat="false" ht="35.05" hidden="false" customHeight="false" outlineLevel="0" collapsed="false">
      <c r="A37" s="11" t="n">
        <v>36</v>
      </c>
      <c r="B37" s="11" t="s">
        <v>939</v>
      </c>
      <c r="C37" s="11" t="n">
        <v>2022</v>
      </c>
      <c r="D37" s="11" t="s">
        <v>134</v>
      </c>
      <c r="E37" s="11" t="s">
        <v>821</v>
      </c>
      <c r="F37" s="11" t="s">
        <v>795</v>
      </c>
      <c r="G37" s="11" t="s">
        <v>1494</v>
      </c>
      <c r="H37" s="11" t="s">
        <v>941</v>
      </c>
      <c r="I37" s="11" t="s">
        <v>1600</v>
      </c>
      <c r="J37" s="11" t="s">
        <v>826</v>
      </c>
      <c r="K37" s="11" t="s">
        <v>20</v>
      </c>
      <c r="L37" s="11" t="s">
        <v>1041</v>
      </c>
      <c r="M37" s="11" t="s">
        <v>1050</v>
      </c>
      <c r="N37" s="11" t="s">
        <v>1040</v>
      </c>
      <c r="O37" s="11" t="s">
        <v>11</v>
      </c>
      <c r="P37" s="11" t="s">
        <v>1062</v>
      </c>
      <c r="Q37" s="11"/>
      <c r="R37" s="11"/>
      <c r="S37" s="11"/>
      <c r="T37" s="11"/>
      <c r="U37" s="11" t="s">
        <v>1601</v>
      </c>
      <c r="V37" s="11" t="s">
        <v>1117</v>
      </c>
      <c r="W37" s="11" t="s">
        <v>1319</v>
      </c>
      <c r="X37" s="11" t="s">
        <v>1320</v>
      </c>
      <c r="Y37" s="11" t="s">
        <v>1321</v>
      </c>
      <c r="Z37" s="11" t="s">
        <v>1322</v>
      </c>
      <c r="AA37" s="11" t="s">
        <v>1323</v>
      </c>
      <c r="AB37" s="11" t="s">
        <v>1324</v>
      </c>
      <c r="AC37" s="11" t="s">
        <v>1602</v>
      </c>
      <c r="AD37" s="11" t="s">
        <v>1109</v>
      </c>
      <c r="AE37" s="11" t="s">
        <v>1109</v>
      </c>
      <c r="AF37" s="11" t="s">
        <v>1109</v>
      </c>
      <c r="AG37" s="11"/>
      <c r="AH37" s="11"/>
      <c r="AI37" s="11"/>
      <c r="AJ37" s="11" t="s">
        <v>52</v>
      </c>
      <c r="AK37" s="11" t="s">
        <v>1499</v>
      </c>
      <c r="AL37" s="11" t="s">
        <v>942</v>
      </c>
      <c r="AM37" s="11"/>
      <c r="AN37" s="11" t="s">
        <v>1500</v>
      </c>
      <c r="AO37" s="11" t="s">
        <v>1499</v>
      </c>
      <c r="AP37" s="11" t="s">
        <v>1501</v>
      </c>
      <c r="AQ37" s="11" t="s">
        <v>1502</v>
      </c>
      <c r="AR37" s="11" t="s">
        <v>1503</v>
      </c>
    </row>
    <row r="38" customFormat="false" ht="35.05" hidden="false" customHeight="false" outlineLevel="0" collapsed="false">
      <c r="A38" s="11" t="n">
        <v>37</v>
      </c>
      <c r="B38" s="11" t="s">
        <v>943</v>
      </c>
      <c r="C38" s="11" t="n">
        <v>2022</v>
      </c>
      <c r="D38" s="11" t="s">
        <v>944</v>
      </c>
      <c r="E38" s="11" t="s">
        <v>821</v>
      </c>
      <c r="F38" s="11" t="s">
        <v>795</v>
      </c>
      <c r="G38" s="11" t="s">
        <v>1494</v>
      </c>
      <c r="H38" s="11" t="s">
        <v>945</v>
      </c>
      <c r="I38" s="11" t="s">
        <v>1603</v>
      </c>
      <c r="J38" s="11" t="s">
        <v>826</v>
      </c>
      <c r="K38" s="11" t="s">
        <v>20</v>
      </c>
      <c r="L38" s="11" t="s">
        <v>1041</v>
      </c>
      <c r="M38" s="11"/>
      <c r="N38" s="11"/>
      <c r="O38" s="11" t="s">
        <v>11</v>
      </c>
      <c r="P38" s="11" t="s">
        <v>1062</v>
      </c>
      <c r="Q38" s="11"/>
      <c r="R38" s="11"/>
      <c r="S38" s="11"/>
      <c r="T38" s="11"/>
      <c r="U38" s="11" t="s">
        <v>1496</v>
      </c>
      <c r="V38" s="11" t="s">
        <v>1117</v>
      </c>
      <c r="W38" s="11" t="s">
        <v>1319</v>
      </c>
      <c r="X38" s="11" t="s">
        <v>1320</v>
      </c>
      <c r="Y38" s="11" t="s">
        <v>1325</v>
      </c>
      <c r="Z38" s="11" t="s">
        <v>1326</v>
      </c>
      <c r="AA38" s="11" t="s">
        <v>1327</v>
      </c>
      <c r="AB38" s="11" t="s">
        <v>1328</v>
      </c>
      <c r="AC38" s="11" t="s">
        <v>1604</v>
      </c>
      <c r="AD38" s="11" t="s">
        <v>1109</v>
      </c>
      <c r="AE38" s="11" t="s">
        <v>1109</v>
      </c>
      <c r="AF38" s="11" t="s">
        <v>1109</v>
      </c>
      <c r="AG38" s="11"/>
      <c r="AH38" s="11"/>
      <c r="AI38" s="11"/>
      <c r="AJ38" s="11" t="s">
        <v>52</v>
      </c>
      <c r="AK38" s="11" t="s">
        <v>1499</v>
      </c>
      <c r="AL38" s="11" t="s">
        <v>944</v>
      </c>
      <c r="AM38" s="11"/>
      <c r="AN38" s="11" t="s">
        <v>1506</v>
      </c>
      <c r="AO38" s="11" t="s">
        <v>1499</v>
      </c>
      <c r="AP38" s="11" t="s">
        <v>1501</v>
      </c>
      <c r="AQ38" s="11" t="s">
        <v>1502</v>
      </c>
      <c r="AR38" s="11" t="s">
        <v>1503</v>
      </c>
    </row>
    <row r="39" customFormat="false" ht="35.05" hidden="false" customHeight="false" outlineLevel="0" collapsed="false">
      <c r="A39" s="11" t="n">
        <v>38</v>
      </c>
      <c r="B39" s="11" t="s">
        <v>946</v>
      </c>
      <c r="C39" s="11" t="n">
        <v>2026</v>
      </c>
      <c r="D39" s="11" t="s">
        <v>947</v>
      </c>
      <c r="E39" s="11" t="s">
        <v>821</v>
      </c>
      <c r="F39" s="11" t="s">
        <v>795</v>
      </c>
      <c r="G39" s="11" t="s">
        <v>1494</v>
      </c>
      <c r="H39" s="11" t="s">
        <v>933</v>
      </c>
      <c r="I39" s="11" t="s">
        <v>1605</v>
      </c>
      <c r="J39" s="11" t="s">
        <v>533</v>
      </c>
      <c r="K39" s="11" t="s">
        <v>19</v>
      </c>
      <c r="L39" s="11" t="s">
        <v>1044</v>
      </c>
      <c r="M39" s="11"/>
      <c r="N39" s="11"/>
      <c r="O39" s="11" t="s">
        <v>13</v>
      </c>
      <c r="P39" s="11"/>
      <c r="Q39" s="11"/>
      <c r="R39" s="11"/>
      <c r="S39" s="11"/>
      <c r="T39" s="11"/>
      <c r="U39" s="11" t="s">
        <v>1606</v>
      </c>
      <c r="V39" s="11" t="s">
        <v>1318</v>
      </c>
      <c r="W39" s="11" t="s">
        <v>1329</v>
      </c>
      <c r="X39" s="11" t="s">
        <v>1330</v>
      </c>
      <c r="Y39" s="11" t="s">
        <v>1331</v>
      </c>
      <c r="Z39" s="11" t="s">
        <v>1332</v>
      </c>
      <c r="AA39" s="11" t="s">
        <v>1333</v>
      </c>
      <c r="AB39" s="11" t="s">
        <v>1334</v>
      </c>
      <c r="AC39" s="11" t="s">
        <v>1607</v>
      </c>
      <c r="AD39" s="11" t="s">
        <v>1109</v>
      </c>
      <c r="AE39" s="11" t="s">
        <v>1109</v>
      </c>
      <c r="AF39" s="11" t="s">
        <v>1109</v>
      </c>
      <c r="AG39" s="11"/>
      <c r="AH39" s="11"/>
      <c r="AI39" s="11"/>
      <c r="AJ39" s="11" t="s">
        <v>52</v>
      </c>
      <c r="AK39" s="11" t="s">
        <v>1499</v>
      </c>
      <c r="AL39" s="11" t="s">
        <v>947</v>
      </c>
      <c r="AM39" s="11"/>
      <c r="AN39" s="11" t="s">
        <v>1506</v>
      </c>
      <c r="AO39" s="11" t="s">
        <v>1499</v>
      </c>
      <c r="AP39" s="11" t="s">
        <v>1501</v>
      </c>
      <c r="AQ39" s="11" t="s">
        <v>1502</v>
      </c>
      <c r="AR39" s="11" t="s">
        <v>1503</v>
      </c>
    </row>
    <row r="40" customFormat="false" ht="35.05" hidden="false" customHeight="false" outlineLevel="0" collapsed="false">
      <c r="A40" s="11" t="n">
        <v>39</v>
      </c>
      <c r="B40" s="11" t="s">
        <v>948</v>
      </c>
      <c r="C40" s="11" t="n">
        <v>2021</v>
      </c>
      <c r="D40" s="11" t="s">
        <v>949</v>
      </c>
      <c r="E40" s="11" t="s">
        <v>821</v>
      </c>
      <c r="F40" s="11" t="s">
        <v>795</v>
      </c>
      <c r="G40" s="11" t="s">
        <v>1494</v>
      </c>
      <c r="H40" s="11" t="s">
        <v>950</v>
      </c>
      <c r="I40" s="11" t="s">
        <v>1608</v>
      </c>
      <c r="J40" s="11" t="s">
        <v>202</v>
      </c>
      <c r="K40" s="11" t="s">
        <v>951</v>
      </c>
      <c r="L40" s="11" t="s">
        <v>1041</v>
      </c>
      <c r="M40" s="11" t="s">
        <v>1040</v>
      </c>
      <c r="N40" s="11" t="s">
        <v>1040</v>
      </c>
      <c r="O40" s="11" t="s">
        <v>10</v>
      </c>
      <c r="P40" s="11"/>
      <c r="Q40" s="11"/>
      <c r="R40" s="11"/>
      <c r="S40" s="11"/>
      <c r="T40" s="11"/>
      <c r="U40" s="11" t="s">
        <v>1079</v>
      </c>
      <c r="V40" s="11" t="s">
        <v>1130</v>
      </c>
      <c r="W40" s="11" t="s">
        <v>1335</v>
      </c>
      <c r="X40" s="11" t="s">
        <v>1336</v>
      </c>
      <c r="Y40" s="11" t="s">
        <v>1337</v>
      </c>
      <c r="Z40" s="11" t="s">
        <v>1338</v>
      </c>
      <c r="AA40" s="11" t="s">
        <v>1339</v>
      </c>
      <c r="AB40" s="11" t="s">
        <v>1340</v>
      </c>
      <c r="AC40" s="11" t="s">
        <v>1609</v>
      </c>
      <c r="AD40" s="11" t="s">
        <v>1109</v>
      </c>
      <c r="AE40" s="11" t="s">
        <v>1109</v>
      </c>
      <c r="AF40" s="11" t="s">
        <v>1109</v>
      </c>
      <c r="AG40" s="11"/>
      <c r="AH40" s="11"/>
      <c r="AI40" s="11"/>
      <c r="AJ40" s="11" t="s">
        <v>52</v>
      </c>
      <c r="AK40" s="11" t="s">
        <v>1499</v>
      </c>
      <c r="AL40" s="11" t="s">
        <v>949</v>
      </c>
      <c r="AM40" s="11"/>
      <c r="AN40" s="11" t="s">
        <v>1500</v>
      </c>
      <c r="AO40" s="11" t="s">
        <v>1499</v>
      </c>
      <c r="AP40" s="11" t="s">
        <v>1501</v>
      </c>
      <c r="AQ40" s="11" t="s">
        <v>1502</v>
      </c>
      <c r="AR40" s="11" t="s">
        <v>1503</v>
      </c>
    </row>
    <row r="41" customFormat="false" ht="23.85" hidden="false" customHeight="false" outlineLevel="0" collapsed="false">
      <c r="A41" s="11" t="n">
        <v>40</v>
      </c>
      <c r="B41" s="11" t="s">
        <v>948</v>
      </c>
      <c r="C41" s="11" t="n">
        <v>2021</v>
      </c>
      <c r="D41" s="11" t="s">
        <v>952</v>
      </c>
      <c r="E41" s="11" t="s">
        <v>821</v>
      </c>
      <c r="F41" s="11" t="s">
        <v>795</v>
      </c>
      <c r="G41" s="11" t="s">
        <v>1494</v>
      </c>
      <c r="H41" s="11" t="s">
        <v>953</v>
      </c>
      <c r="I41" s="11" t="s">
        <v>1610</v>
      </c>
      <c r="J41" s="11" t="s">
        <v>202</v>
      </c>
      <c r="K41" s="11" t="s">
        <v>954</v>
      </c>
      <c r="L41" s="11" t="s">
        <v>1041</v>
      </c>
      <c r="M41" s="11"/>
      <c r="N41" s="11"/>
      <c r="O41" s="11" t="s">
        <v>17</v>
      </c>
      <c r="P41" s="11"/>
      <c r="Q41" s="11"/>
      <c r="R41" s="11"/>
      <c r="S41" s="11"/>
      <c r="T41" s="11"/>
      <c r="U41" s="11" t="s">
        <v>1533</v>
      </c>
      <c r="V41" s="11" t="s">
        <v>1020</v>
      </c>
      <c r="W41" s="11" t="s">
        <v>1341</v>
      </c>
      <c r="X41" s="11" t="s">
        <v>1342</v>
      </c>
      <c r="Y41" s="11" t="s">
        <v>1343</v>
      </c>
      <c r="Z41" s="11" t="s">
        <v>1344</v>
      </c>
      <c r="AA41" s="11" t="s">
        <v>1345</v>
      </c>
      <c r="AB41" s="11" t="s">
        <v>1346</v>
      </c>
      <c r="AC41" s="11" t="s">
        <v>1611</v>
      </c>
      <c r="AD41" s="11" t="s">
        <v>1109</v>
      </c>
      <c r="AE41" s="11" t="s">
        <v>1109</v>
      </c>
      <c r="AF41" s="11" t="s">
        <v>1109</v>
      </c>
      <c r="AG41" s="11"/>
      <c r="AH41" s="11"/>
      <c r="AI41" s="11"/>
      <c r="AJ41" s="11" t="s">
        <v>52</v>
      </c>
      <c r="AK41" s="11" t="s">
        <v>1499</v>
      </c>
      <c r="AL41" s="11" t="s">
        <v>952</v>
      </c>
      <c r="AM41" s="11"/>
      <c r="AN41" s="11" t="s">
        <v>1500</v>
      </c>
      <c r="AO41" s="11" t="s">
        <v>1499</v>
      </c>
      <c r="AP41" s="11" t="s">
        <v>1501</v>
      </c>
      <c r="AQ41" s="11" t="s">
        <v>1502</v>
      </c>
      <c r="AR41" s="11" t="s">
        <v>1503</v>
      </c>
    </row>
    <row r="42" customFormat="false" ht="35.05" hidden="false" customHeight="false" outlineLevel="0" collapsed="false">
      <c r="A42" s="11" t="n">
        <v>41</v>
      </c>
      <c r="B42" s="11" t="s">
        <v>955</v>
      </c>
      <c r="C42" s="11" t="n">
        <v>2022</v>
      </c>
      <c r="D42" s="11" t="s">
        <v>956</v>
      </c>
      <c r="E42" s="11" t="s">
        <v>21</v>
      </c>
      <c r="F42" s="11" t="s">
        <v>795</v>
      </c>
      <c r="G42" s="11" t="s">
        <v>1494</v>
      </c>
      <c r="H42" s="11" t="s">
        <v>957</v>
      </c>
      <c r="I42" s="11" t="s">
        <v>225</v>
      </c>
      <c r="J42" s="11" t="s">
        <v>225</v>
      </c>
      <c r="K42" s="11" t="s">
        <v>21</v>
      </c>
      <c r="L42" s="11" t="s">
        <v>1044</v>
      </c>
      <c r="M42" s="11"/>
      <c r="N42" s="11"/>
      <c r="O42" s="11" t="s">
        <v>836</v>
      </c>
      <c r="P42" s="11" t="s">
        <v>1062</v>
      </c>
      <c r="Q42" s="11"/>
      <c r="R42" s="11"/>
      <c r="S42" s="11"/>
      <c r="T42" s="11"/>
      <c r="U42" s="11" t="s">
        <v>1612</v>
      </c>
      <c r="V42" s="11" t="s">
        <v>1497</v>
      </c>
      <c r="W42" s="11" t="s">
        <v>1347</v>
      </c>
      <c r="X42" s="11" t="s">
        <v>1348</v>
      </c>
      <c r="Y42" s="11" t="s">
        <v>1349</v>
      </c>
      <c r="Z42" s="11" t="s">
        <v>1350</v>
      </c>
      <c r="AA42" s="11" t="s">
        <v>1351</v>
      </c>
      <c r="AB42" s="11" t="s">
        <v>1352</v>
      </c>
      <c r="AC42" s="11" t="s">
        <v>1613</v>
      </c>
      <c r="AD42" s="11" t="s">
        <v>1109</v>
      </c>
      <c r="AE42" s="11" t="s">
        <v>1109</v>
      </c>
      <c r="AF42" s="11" t="s">
        <v>1109</v>
      </c>
      <c r="AG42" s="11"/>
      <c r="AH42" s="11"/>
      <c r="AI42" s="11"/>
      <c r="AJ42" s="11" t="s">
        <v>52</v>
      </c>
      <c r="AK42" s="11" t="s">
        <v>1499</v>
      </c>
      <c r="AL42" s="11" t="s">
        <v>956</v>
      </c>
      <c r="AM42" s="11"/>
      <c r="AN42" s="11" t="s">
        <v>1506</v>
      </c>
      <c r="AO42" s="11" t="s">
        <v>1499</v>
      </c>
      <c r="AP42" s="11" t="s">
        <v>1501</v>
      </c>
      <c r="AQ42" s="11" t="s">
        <v>1502</v>
      </c>
      <c r="AR42" s="11" t="s">
        <v>1503</v>
      </c>
    </row>
    <row r="43" customFormat="false" ht="35.05" hidden="false" customHeight="false" outlineLevel="0" collapsed="false">
      <c r="A43" s="11" t="n">
        <v>42</v>
      </c>
      <c r="B43" s="11" t="s">
        <v>958</v>
      </c>
      <c r="C43" s="11" t="n">
        <v>2026</v>
      </c>
      <c r="D43" s="11" t="s">
        <v>959</v>
      </c>
      <c r="E43" s="11" t="s">
        <v>821</v>
      </c>
      <c r="F43" s="11" t="s">
        <v>795</v>
      </c>
      <c r="G43" s="11" t="s">
        <v>1494</v>
      </c>
      <c r="H43" s="11" t="s">
        <v>960</v>
      </c>
      <c r="I43" s="11" t="s">
        <v>1614</v>
      </c>
      <c r="J43" s="11" t="s">
        <v>245</v>
      </c>
      <c r="K43" s="11" t="s">
        <v>22</v>
      </c>
      <c r="L43" s="11" t="s">
        <v>1046</v>
      </c>
      <c r="M43" s="11"/>
      <c r="N43" s="11"/>
      <c r="O43" s="11" t="s">
        <v>14</v>
      </c>
      <c r="P43" s="11" t="s">
        <v>1062</v>
      </c>
      <c r="Q43" s="11"/>
      <c r="R43" s="11"/>
      <c r="S43" s="11"/>
      <c r="T43" s="11"/>
      <c r="U43" s="11" t="s">
        <v>1496</v>
      </c>
      <c r="V43" s="11" t="s">
        <v>1359</v>
      </c>
      <c r="W43" s="11" t="s">
        <v>1353</v>
      </c>
      <c r="X43" s="11" t="s">
        <v>1354</v>
      </c>
      <c r="Y43" s="11" t="s">
        <v>1355</v>
      </c>
      <c r="Z43" s="11" t="s">
        <v>1356</v>
      </c>
      <c r="AA43" s="11" t="s">
        <v>1357</v>
      </c>
      <c r="AB43" s="11" t="s">
        <v>1358</v>
      </c>
      <c r="AC43" s="11" t="s">
        <v>1615</v>
      </c>
      <c r="AD43" s="11" t="s">
        <v>1109</v>
      </c>
      <c r="AE43" s="11" t="s">
        <v>1109</v>
      </c>
      <c r="AF43" s="11" t="s">
        <v>1109</v>
      </c>
      <c r="AG43" s="11"/>
      <c r="AH43" s="11"/>
      <c r="AI43" s="11"/>
      <c r="AJ43" s="11" t="s">
        <v>52</v>
      </c>
      <c r="AK43" s="11" t="s">
        <v>1499</v>
      </c>
      <c r="AL43" s="11" t="s">
        <v>959</v>
      </c>
      <c r="AM43" s="11"/>
      <c r="AN43" s="11" t="s">
        <v>1506</v>
      </c>
      <c r="AO43" s="11" t="s">
        <v>1499</v>
      </c>
      <c r="AP43" s="11" t="s">
        <v>1501</v>
      </c>
      <c r="AQ43" s="11" t="s">
        <v>1502</v>
      </c>
      <c r="AR43" s="11" t="s">
        <v>1503</v>
      </c>
    </row>
    <row r="44" customFormat="false" ht="35.05" hidden="false" customHeight="false" outlineLevel="0" collapsed="false">
      <c r="A44" s="11" t="n">
        <v>43</v>
      </c>
      <c r="B44" s="11" t="s">
        <v>961</v>
      </c>
      <c r="C44" s="11" t="n">
        <v>2024</v>
      </c>
      <c r="D44" s="11" t="s">
        <v>962</v>
      </c>
      <c r="E44" s="11" t="s">
        <v>21</v>
      </c>
      <c r="F44" s="11" t="s">
        <v>795</v>
      </c>
      <c r="G44" s="11" t="s">
        <v>1494</v>
      </c>
      <c r="H44" s="11" t="s">
        <v>963</v>
      </c>
      <c r="I44" s="11" t="s">
        <v>266</v>
      </c>
      <c r="J44" s="11" t="s">
        <v>266</v>
      </c>
      <c r="K44" s="11" t="s">
        <v>109</v>
      </c>
      <c r="L44" s="11" t="s">
        <v>1044</v>
      </c>
      <c r="M44" s="11"/>
      <c r="N44" s="11"/>
      <c r="O44" s="11" t="s">
        <v>15</v>
      </c>
      <c r="P44" s="11" t="s">
        <v>1062</v>
      </c>
      <c r="Q44" s="11"/>
      <c r="R44" s="11"/>
      <c r="S44" s="11"/>
      <c r="T44" s="11"/>
      <c r="U44" s="11" t="s">
        <v>1616</v>
      </c>
      <c r="V44" s="11" t="s">
        <v>1366</v>
      </c>
      <c r="W44" s="11" t="s">
        <v>1360</v>
      </c>
      <c r="X44" s="11" t="s">
        <v>1361</v>
      </c>
      <c r="Y44" s="11" t="s">
        <v>1362</v>
      </c>
      <c r="Z44" s="11" t="s">
        <v>1363</v>
      </c>
      <c r="AA44" s="11" t="s">
        <v>1364</v>
      </c>
      <c r="AB44" s="11" t="s">
        <v>1365</v>
      </c>
      <c r="AC44" s="11" t="s">
        <v>1617</v>
      </c>
      <c r="AD44" s="11" t="s">
        <v>1109</v>
      </c>
      <c r="AE44" s="11" t="s">
        <v>1109</v>
      </c>
      <c r="AF44" s="11" t="s">
        <v>1109</v>
      </c>
      <c r="AG44" s="11"/>
      <c r="AH44" s="11"/>
      <c r="AI44" s="11"/>
      <c r="AJ44" s="11" t="s">
        <v>52</v>
      </c>
      <c r="AK44" s="11" t="s">
        <v>1499</v>
      </c>
      <c r="AL44" s="11" t="s">
        <v>962</v>
      </c>
      <c r="AM44" s="11"/>
      <c r="AN44" s="11" t="s">
        <v>1506</v>
      </c>
      <c r="AO44" s="11" t="s">
        <v>1499</v>
      </c>
      <c r="AP44" s="11" t="s">
        <v>1501</v>
      </c>
      <c r="AQ44" s="11" t="s">
        <v>1502</v>
      </c>
      <c r="AR44" s="11" t="s">
        <v>1503</v>
      </c>
    </row>
    <row r="45" customFormat="false" ht="35.05" hidden="false" customHeight="false" outlineLevel="0" collapsed="false">
      <c r="A45" s="11" t="n">
        <v>44</v>
      </c>
      <c r="B45" s="11" t="s">
        <v>964</v>
      </c>
      <c r="C45" s="11" t="n">
        <v>2025</v>
      </c>
      <c r="D45" s="11" t="s">
        <v>965</v>
      </c>
      <c r="E45" s="11" t="s">
        <v>821</v>
      </c>
      <c r="F45" s="11" t="s">
        <v>795</v>
      </c>
      <c r="G45" s="11" t="s">
        <v>1494</v>
      </c>
      <c r="H45" s="11" t="s">
        <v>966</v>
      </c>
      <c r="I45" s="11" t="s">
        <v>339</v>
      </c>
      <c r="J45" s="11" t="s">
        <v>339</v>
      </c>
      <c r="K45" s="11" t="s">
        <v>22</v>
      </c>
      <c r="L45" s="11" t="s">
        <v>1046</v>
      </c>
      <c r="M45" s="11"/>
      <c r="N45" s="11"/>
      <c r="O45" s="11" t="s">
        <v>16</v>
      </c>
      <c r="P45" s="11" t="s">
        <v>1062</v>
      </c>
      <c r="Q45" s="11"/>
      <c r="R45" s="11"/>
      <c r="S45" s="11"/>
      <c r="T45" s="11"/>
      <c r="U45" s="11" t="s">
        <v>1588</v>
      </c>
      <c r="V45" s="11" t="s">
        <v>1188</v>
      </c>
      <c r="W45" s="11" t="s">
        <v>1367</v>
      </c>
      <c r="X45" s="11" t="s">
        <v>1368</v>
      </c>
      <c r="Y45" s="11" t="s">
        <v>1369</v>
      </c>
      <c r="Z45" s="11" t="s">
        <v>1370</v>
      </c>
      <c r="AA45" s="11" t="s">
        <v>1371</v>
      </c>
      <c r="AB45" s="11" t="s">
        <v>1372</v>
      </c>
      <c r="AC45" s="11" t="s">
        <v>1618</v>
      </c>
      <c r="AD45" s="11" t="s">
        <v>1109</v>
      </c>
      <c r="AE45" s="11" t="s">
        <v>1109</v>
      </c>
      <c r="AF45" s="11" t="s">
        <v>1109</v>
      </c>
      <c r="AG45" s="11"/>
      <c r="AH45" s="11"/>
      <c r="AI45" s="11"/>
      <c r="AJ45" s="11" t="s">
        <v>52</v>
      </c>
      <c r="AK45" s="11" t="s">
        <v>1499</v>
      </c>
      <c r="AL45" s="11" t="s">
        <v>965</v>
      </c>
      <c r="AM45" s="11"/>
      <c r="AN45" s="11" t="s">
        <v>1506</v>
      </c>
      <c r="AO45" s="11" t="s">
        <v>1499</v>
      </c>
      <c r="AP45" s="11" t="s">
        <v>1501</v>
      </c>
      <c r="AQ45" s="11" t="s">
        <v>1502</v>
      </c>
      <c r="AR45" s="11" t="s">
        <v>1503</v>
      </c>
    </row>
    <row r="46" customFormat="false" ht="35.05" hidden="false" customHeight="false" outlineLevel="0" collapsed="false">
      <c r="A46" s="11" t="n">
        <v>45</v>
      </c>
      <c r="B46" s="11" t="s">
        <v>967</v>
      </c>
      <c r="C46" s="11" t="n">
        <v>2025</v>
      </c>
      <c r="D46" s="11" t="s">
        <v>968</v>
      </c>
      <c r="E46" s="11" t="s">
        <v>821</v>
      </c>
      <c r="F46" s="11" t="s">
        <v>870</v>
      </c>
      <c r="G46" s="11" t="s">
        <v>1619</v>
      </c>
      <c r="H46" s="11" t="s">
        <v>14</v>
      </c>
      <c r="I46" s="11" t="s">
        <v>443</v>
      </c>
      <c r="J46" s="11" t="s">
        <v>856</v>
      </c>
      <c r="K46" s="11" t="s">
        <v>22</v>
      </c>
      <c r="L46" s="11" t="s">
        <v>1046</v>
      </c>
      <c r="M46" s="11"/>
      <c r="N46" s="11"/>
      <c r="O46" s="11" t="s">
        <v>15</v>
      </c>
      <c r="P46" s="11"/>
      <c r="Q46" s="11"/>
      <c r="R46" s="11"/>
      <c r="S46" s="11"/>
      <c r="T46" s="11"/>
      <c r="U46" s="11" t="s">
        <v>1620</v>
      </c>
      <c r="V46" s="11" t="s">
        <v>1175</v>
      </c>
      <c r="W46" s="11" t="s">
        <v>1373</v>
      </c>
      <c r="X46" s="11" t="s">
        <v>1374</v>
      </c>
      <c r="Y46" s="11" t="s">
        <v>1375</v>
      </c>
      <c r="Z46" s="11" t="s">
        <v>1376</v>
      </c>
      <c r="AA46" s="11" t="s">
        <v>1377</v>
      </c>
      <c r="AB46" s="11" t="s">
        <v>1378</v>
      </c>
      <c r="AC46" s="11" t="s">
        <v>1621</v>
      </c>
      <c r="AD46" s="11" t="s">
        <v>1109</v>
      </c>
      <c r="AE46" s="11" t="s">
        <v>1109</v>
      </c>
      <c r="AF46" s="11" t="s">
        <v>1109</v>
      </c>
      <c r="AG46" s="11"/>
      <c r="AH46" s="11"/>
      <c r="AI46" s="11"/>
      <c r="AJ46" s="11" t="s">
        <v>52</v>
      </c>
      <c r="AK46" s="11" t="s">
        <v>1499</v>
      </c>
      <c r="AL46" s="11" t="s">
        <v>968</v>
      </c>
      <c r="AM46" s="11"/>
      <c r="AN46" s="11" t="s">
        <v>1506</v>
      </c>
      <c r="AO46" s="11" t="s">
        <v>1499</v>
      </c>
      <c r="AP46" s="11" t="s">
        <v>1501</v>
      </c>
      <c r="AQ46" s="11" t="s">
        <v>1502</v>
      </c>
      <c r="AR46" s="11" t="s">
        <v>1553</v>
      </c>
    </row>
    <row r="47" customFormat="false" ht="35.05" hidden="false" customHeight="false" outlineLevel="0" collapsed="false">
      <c r="A47" s="11" t="n">
        <v>46</v>
      </c>
      <c r="B47" s="11" t="s">
        <v>969</v>
      </c>
      <c r="C47" s="11" t="n">
        <v>2026</v>
      </c>
      <c r="D47" s="11" t="s">
        <v>970</v>
      </c>
      <c r="E47" s="11" t="s">
        <v>821</v>
      </c>
      <c r="F47" s="11" t="s">
        <v>795</v>
      </c>
      <c r="G47" s="11" t="s">
        <v>1494</v>
      </c>
      <c r="H47" s="11" t="s">
        <v>971</v>
      </c>
      <c r="I47" s="11" t="s">
        <v>1622</v>
      </c>
      <c r="J47" s="11" t="s">
        <v>840</v>
      </c>
      <c r="K47" s="11" t="s">
        <v>67</v>
      </c>
      <c r="L47" s="11" t="s">
        <v>1041</v>
      </c>
      <c r="M47" s="11"/>
      <c r="N47" s="11"/>
      <c r="O47" s="11" t="s">
        <v>17</v>
      </c>
      <c r="P47" s="11" t="s">
        <v>1062</v>
      </c>
      <c r="Q47" s="11"/>
      <c r="R47" s="11"/>
      <c r="S47" s="11"/>
      <c r="T47" s="11"/>
      <c r="U47" s="11" t="s">
        <v>1623</v>
      </c>
      <c r="V47" s="11" t="s">
        <v>1497</v>
      </c>
      <c r="W47" s="11" t="s">
        <v>1379</v>
      </c>
      <c r="X47" s="11" t="s">
        <v>1380</v>
      </c>
      <c r="Y47" s="11" t="s">
        <v>1381</v>
      </c>
      <c r="Z47" s="11" t="s">
        <v>1382</v>
      </c>
      <c r="AA47" s="11" t="s">
        <v>1383</v>
      </c>
      <c r="AB47" s="11" t="s">
        <v>1384</v>
      </c>
      <c r="AC47" s="11" t="s">
        <v>1624</v>
      </c>
      <c r="AD47" s="11" t="s">
        <v>1109</v>
      </c>
      <c r="AE47" s="11" t="s">
        <v>1109</v>
      </c>
      <c r="AF47" s="11" t="s">
        <v>1109</v>
      </c>
      <c r="AG47" s="11"/>
      <c r="AH47" s="11"/>
      <c r="AI47" s="11"/>
      <c r="AJ47" s="11" t="s">
        <v>52</v>
      </c>
      <c r="AK47" s="11" t="s">
        <v>1499</v>
      </c>
      <c r="AL47" s="11" t="s">
        <v>970</v>
      </c>
      <c r="AM47" s="11"/>
      <c r="AN47" s="11" t="s">
        <v>1506</v>
      </c>
      <c r="AO47" s="11" t="s">
        <v>1499</v>
      </c>
      <c r="AP47" s="11" t="s">
        <v>1501</v>
      </c>
      <c r="AQ47" s="11" t="s">
        <v>1502</v>
      </c>
      <c r="AR47" s="11" t="s">
        <v>1503</v>
      </c>
    </row>
    <row r="48" customFormat="false" ht="35.05" hidden="false" customHeight="false" outlineLevel="0" collapsed="false">
      <c r="A48" s="11" t="n">
        <v>47</v>
      </c>
      <c r="B48" s="11" t="s">
        <v>972</v>
      </c>
      <c r="C48" s="11" t="n">
        <v>2024</v>
      </c>
      <c r="D48" s="11" t="s">
        <v>973</v>
      </c>
      <c r="E48" s="11" t="s">
        <v>821</v>
      </c>
      <c r="F48" s="11" t="s">
        <v>795</v>
      </c>
      <c r="G48" s="11" t="s">
        <v>1494</v>
      </c>
      <c r="H48" s="11" t="s">
        <v>974</v>
      </c>
      <c r="I48" s="11" t="s">
        <v>1625</v>
      </c>
      <c r="J48" s="11" t="s">
        <v>826</v>
      </c>
      <c r="K48" s="11" t="s">
        <v>975</v>
      </c>
      <c r="L48" s="11" t="s">
        <v>1041</v>
      </c>
      <c r="M48" s="11"/>
      <c r="N48" s="11"/>
      <c r="O48" s="11" t="s">
        <v>15</v>
      </c>
      <c r="P48" s="11" t="s">
        <v>1508</v>
      </c>
      <c r="Q48" s="11"/>
      <c r="R48" s="11"/>
      <c r="S48" s="11"/>
      <c r="T48" s="11"/>
      <c r="U48" s="11" t="s">
        <v>1626</v>
      </c>
      <c r="V48" s="11" t="s">
        <v>1117</v>
      </c>
      <c r="W48" s="11" t="s">
        <v>1385</v>
      </c>
      <c r="X48" s="11" t="s">
        <v>1386</v>
      </c>
      <c r="Y48" s="11" t="s">
        <v>1387</v>
      </c>
      <c r="Z48" s="11" t="s">
        <v>1388</v>
      </c>
      <c r="AA48" s="11" t="s">
        <v>1389</v>
      </c>
      <c r="AB48" s="11" t="s">
        <v>1390</v>
      </c>
      <c r="AC48" s="11" t="s">
        <v>1627</v>
      </c>
      <c r="AD48" s="11" t="s">
        <v>1109</v>
      </c>
      <c r="AE48" s="11" t="s">
        <v>1109</v>
      </c>
      <c r="AF48" s="11" t="s">
        <v>1109</v>
      </c>
      <c r="AG48" s="11"/>
      <c r="AH48" s="11"/>
      <c r="AI48" s="11"/>
      <c r="AJ48" s="11" t="s">
        <v>52</v>
      </c>
      <c r="AK48" s="11" t="s">
        <v>1499</v>
      </c>
      <c r="AL48" s="11" t="s">
        <v>973</v>
      </c>
      <c r="AM48" s="11"/>
      <c r="AN48" s="11" t="s">
        <v>1500</v>
      </c>
      <c r="AO48" s="11" t="s">
        <v>1499</v>
      </c>
      <c r="AP48" s="11" t="s">
        <v>1501</v>
      </c>
      <c r="AQ48" s="11" t="s">
        <v>1502</v>
      </c>
      <c r="AR48" s="11" t="s">
        <v>1503</v>
      </c>
    </row>
    <row r="49" customFormat="false" ht="35.05" hidden="false" customHeight="false" outlineLevel="0" collapsed="false">
      <c r="A49" s="11" t="n">
        <v>48</v>
      </c>
      <c r="B49" s="11" t="s">
        <v>972</v>
      </c>
      <c r="C49" s="11" t="n">
        <v>2025</v>
      </c>
      <c r="D49" s="11" t="s">
        <v>976</v>
      </c>
      <c r="E49" s="11" t="s">
        <v>821</v>
      </c>
      <c r="F49" s="11" t="s">
        <v>795</v>
      </c>
      <c r="G49" s="11" t="s">
        <v>1494</v>
      </c>
      <c r="H49" s="11" t="s">
        <v>977</v>
      </c>
      <c r="I49" s="11" t="s">
        <v>1628</v>
      </c>
      <c r="J49" s="11" t="s">
        <v>826</v>
      </c>
      <c r="K49" s="11" t="s">
        <v>975</v>
      </c>
      <c r="L49" s="11" t="s">
        <v>1041</v>
      </c>
      <c r="M49" s="11"/>
      <c r="N49" s="11"/>
      <c r="O49" s="11" t="s">
        <v>15</v>
      </c>
      <c r="P49" s="11" t="s">
        <v>1508</v>
      </c>
      <c r="Q49" s="11"/>
      <c r="R49" s="11"/>
      <c r="S49" s="11"/>
      <c r="T49" s="11"/>
      <c r="U49" s="11" t="s">
        <v>1598</v>
      </c>
      <c r="V49" s="11" t="s">
        <v>1215</v>
      </c>
      <c r="W49" s="11" t="s">
        <v>1391</v>
      </c>
      <c r="X49" s="11" t="s">
        <v>1392</v>
      </c>
      <c r="Y49" s="11" t="s">
        <v>1393</v>
      </c>
      <c r="Z49" s="11" t="s">
        <v>1394</v>
      </c>
      <c r="AA49" s="11" t="s">
        <v>1395</v>
      </c>
      <c r="AB49" s="11" t="s">
        <v>1396</v>
      </c>
      <c r="AC49" s="11" t="s">
        <v>1629</v>
      </c>
      <c r="AD49" s="11" t="s">
        <v>1109</v>
      </c>
      <c r="AE49" s="11" t="s">
        <v>1109</v>
      </c>
      <c r="AF49" s="11" t="s">
        <v>1109</v>
      </c>
      <c r="AG49" s="11"/>
      <c r="AH49" s="11"/>
      <c r="AI49" s="11"/>
      <c r="AJ49" s="11" t="s">
        <v>52</v>
      </c>
      <c r="AK49" s="11" t="s">
        <v>1499</v>
      </c>
      <c r="AL49" s="11" t="s">
        <v>976</v>
      </c>
      <c r="AM49" s="11"/>
      <c r="AN49" s="11" t="s">
        <v>1500</v>
      </c>
      <c r="AO49" s="11" t="s">
        <v>1499</v>
      </c>
      <c r="AP49" s="11" t="s">
        <v>1501</v>
      </c>
      <c r="AQ49" s="11" t="s">
        <v>1502</v>
      </c>
      <c r="AR49" s="11" t="s">
        <v>1503</v>
      </c>
    </row>
    <row r="50" customFormat="false" ht="35.05" hidden="false" customHeight="false" outlineLevel="0" collapsed="false">
      <c r="A50" s="11" t="n">
        <v>49</v>
      </c>
      <c r="B50" s="11" t="s">
        <v>978</v>
      </c>
      <c r="C50" s="11" t="n">
        <v>2023</v>
      </c>
      <c r="D50" s="11" t="s">
        <v>979</v>
      </c>
      <c r="E50" s="11" t="s">
        <v>821</v>
      </c>
      <c r="F50" s="11" t="s">
        <v>795</v>
      </c>
      <c r="G50" s="11" t="s">
        <v>1494</v>
      </c>
      <c r="H50" s="11" t="s">
        <v>980</v>
      </c>
      <c r="I50" s="11" t="s">
        <v>1630</v>
      </c>
      <c r="J50" s="11" t="s">
        <v>840</v>
      </c>
      <c r="K50" s="11" t="s">
        <v>20</v>
      </c>
      <c r="L50" s="11" t="s">
        <v>1041</v>
      </c>
      <c r="M50" s="11"/>
      <c r="N50" s="11"/>
      <c r="O50" s="11" t="s">
        <v>17</v>
      </c>
      <c r="P50" s="11" t="s">
        <v>1062</v>
      </c>
      <c r="Q50" s="11"/>
      <c r="R50" s="11"/>
      <c r="S50" s="11"/>
      <c r="T50" s="11"/>
      <c r="U50" s="11" t="s">
        <v>1079</v>
      </c>
      <c r="V50" s="11" t="s">
        <v>1497</v>
      </c>
      <c r="W50" s="11" t="s">
        <v>1397</v>
      </c>
      <c r="X50" s="11" t="s">
        <v>1398</v>
      </c>
      <c r="Y50" s="11" t="s">
        <v>1399</v>
      </c>
      <c r="Z50" s="11" t="s">
        <v>1400</v>
      </c>
      <c r="AA50" s="11" t="s">
        <v>1401</v>
      </c>
      <c r="AB50" s="11" t="s">
        <v>1402</v>
      </c>
      <c r="AC50" s="11" t="s">
        <v>1631</v>
      </c>
      <c r="AD50" s="11" t="s">
        <v>1109</v>
      </c>
      <c r="AE50" s="11" t="s">
        <v>1109</v>
      </c>
      <c r="AF50" s="11" t="s">
        <v>1109</v>
      </c>
      <c r="AG50" s="11"/>
      <c r="AH50" s="11"/>
      <c r="AI50" s="11"/>
      <c r="AJ50" s="11" t="s">
        <v>52</v>
      </c>
      <c r="AK50" s="11" t="s">
        <v>1499</v>
      </c>
      <c r="AL50" s="11" t="s">
        <v>979</v>
      </c>
      <c r="AM50" s="11"/>
      <c r="AN50" s="11" t="s">
        <v>1500</v>
      </c>
      <c r="AO50" s="11" t="s">
        <v>1499</v>
      </c>
      <c r="AP50" s="11" t="s">
        <v>1501</v>
      </c>
      <c r="AQ50" s="11" t="s">
        <v>1502</v>
      </c>
      <c r="AR50" s="11" t="s">
        <v>1503</v>
      </c>
    </row>
    <row r="51" customFormat="false" ht="35.05" hidden="false" customHeight="false" outlineLevel="0" collapsed="false">
      <c r="A51" s="11" t="n">
        <v>50</v>
      </c>
      <c r="B51" s="11" t="s">
        <v>978</v>
      </c>
      <c r="C51" s="11" t="n">
        <v>2024</v>
      </c>
      <c r="D51" s="11" t="s">
        <v>981</v>
      </c>
      <c r="E51" s="11" t="s">
        <v>878</v>
      </c>
      <c r="F51" s="11" t="s">
        <v>795</v>
      </c>
      <c r="G51" s="11" t="s">
        <v>1494</v>
      </c>
      <c r="H51" s="11" t="s">
        <v>982</v>
      </c>
      <c r="I51" s="11" t="s">
        <v>1632</v>
      </c>
      <c r="J51" s="11" t="s">
        <v>202</v>
      </c>
      <c r="K51" s="11" t="s">
        <v>67</v>
      </c>
      <c r="L51" s="11" t="s">
        <v>1041</v>
      </c>
      <c r="M51" s="11"/>
      <c r="N51" s="11"/>
      <c r="O51" s="11" t="s">
        <v>17</v>
      </c>
      <c r="P51" s="11"/>
      <c r="Q51" s="11"/>
      <c r="R51" s="11"/>
      <c r="S51" s="11"/>
      <c r="T51" s="11"/>
      <c r="U51" s="11" t="s">
        <v>1536</v>
      </c>
      <c r="V51" s="11" t="s">
        <v>1130</v>
      </c>
      <c r="W51" s="11" t="s">
        <v>1403</v>
      </c>
      <c r="X51" s="11" t="s">
        <v>1404</v>
      </c>
      <c r="Y51" s="11" t="s">
        <v>1405</v>
      </c>
      <c r="Z51" s="11" t="s">
        <v>1406</v>
      </c>
      <c r="AA51" s="11" t="s">
        <v>1407</v>
      </c>
      <c r="AB51" s="11" t="s">
        <v>1408</v>
      </c>
      <c r="AC51" s="11" t="s">
        <v>1633</v>
      </c>
      <c r="AD51" s="11" t="s">
        <v>1109</v>
      </c>
      <c r="AE51" s="11" t="s">
        <v>1109</v>
      </c>
      <c r="AF51" s="11" t="s">
        <v>1109</v>
      </c>
      <c r="AG51" s="11"/>
      <c r="AH51" s="11"/>
      <c r="AI51" s="11"/>
      <c r="AJ51" s="11" t="s">
        <v>52</v>
      </c>
      <c r="AK51" s="11" t="s">
        <v>1499</v>
      </c>
      <c r="AL51" s="11" t="s">
        <v>981</v>
      </c>
      <c r="AM51" s="11"/>
      <c r="AN51" s="11" t="s">
        <v>1506</v>
      </c>
      <c r="AO51" s="11" t="s">
        <v>1499</v>
      </c>
      <c r="AP51" s="11" t="s">
        <v>1501</v>
      </c>
      <c r="AQ51" s="11" t="s">
        <v>1502</v>
      </c>
      <c r="AR51" s="11" t="s">
        <v>1503</v>
      </c>
    </row>
    <row r="52" customFormat="false" ht="23.85" hidden="false" customHeight="false" outlineLevel="0" collapsed="false">
      <c r="A52" s="11" t="n">
        <v>51</v>
      </c>
      <c r="B52" s="11" t="s">
        <v>978</v>
      </c>
      <c r="C52" s="11" t="n">
        <v>2025</v>
      </c>
      <c r="D52" s="11" t="s">
        <v>983</v>
      </c>
      <c r="E52" s="11" t="s">
        <v>21</v>
      </c>
      <c r="F52" s="11" t="s">
        <v>795</v>
      </c>
      <c r="G52" s="11" t="s">
        <v>1494</v>
      </c>
      <c r="H52" s="11" t="s">
        <v>984</v>
      </c>
      <c r="I52" s="11" t="s">
        <v>1634</v>
      </c>
      <c r="J52" s="11" t="s">
        <v>202</v>
      </c>
      <c r="K52" s="11" t="s">
        <v>985</v>
      </c>
      <c r="L52" s="11" t="s">
        <v>1041</v>
      </c>
      <c r="M52" s="11"/>
      <c r="N52" s="11"/>
      <c r="O52" s="11" t="s">
        <v>11</v>
      </c>
      <c r="P52" s="11" t="s">
        <v>1062</v>
      </c>
      <c r="Q52" s="11"/>
      <c r="R52" s="11"/>
      <c r="S52" s="11"/>
      <c r="T52" s="11"/>
      <c r="U52" s="11" t="s">
        <v>1079</v>
      </c>
      <c r="V52" s="11" t="s">
        <v>1130</v>
      </c>
      <c r="W52" s="11" t="s">
        <v>1409</v>
      </c>
      <c r="X52" s="11" t="s">
        <v>1410</v>
      </c>
      <c r="Y52" s="11" t="s">
        <v>1411</v>
      </c>
      <c r="Z52" s="11" t="s">
        <v>1412</v>
      </c>
      <c r="AA52" s="11" t="s">
        <v>1413</v>
      </c>
      <c r="AB52" s="11" t="s">
        <v>1414</v>
      </c>
      <c r="AC52" s="11" t="s">
        <v>1635</v>
      </c>
      <c r="AD52" s="11" t="s">
        <v>1109</v>
      </c>
      <c r="AE52" s="11" t="s">
        <v>1109</v>
      </c>
      <c r="AF52" s="11" t="s">
        <v>1109</v>
      </c>
      <c r="AG52" s="11"/>
      <c r="AH52" s="11"/>
      <c r="AI52" s="11"/>
      <c r="AJ52" s="11" t="s">
        <v>52</v>
      </c>
      <c r="AK52" s="11" t="s">
        <v>1499</v>
      </c>
      <c r="AL52" s="11" t="s">
        <v>983</v>
      </c>
      <c r="AM52" s="11"/>
      <c r="AN52" s="11" t="s">
        <v>1500</v>
      </c>
      <c r="AO52" s="11" t="s">
        <v>1499</v>
      </c>
      <c r="AP52" s="11" t="s">
        <v>1501</v>
      </c>
      <c r="AQ52" s="11" t="s">
        <v>1502</v>
      </c>
      <c r="AR52" s="11" t="s">
        <v>1503</v>
      </c>
    </row>
    <row r="53" customFormat="false" ht="35.05" hidden="false" customHeight="false" outlineLevel="0" collapsed="false">
      <c r="A53" s="11" t="n">
        <v>52</v>
      </c>
      <c r="B53" s="11" t="s">
        <v>978</v>
      </c>
      <c r="C53" s="11" t="n">
        <v>2025</v>
      </c>
      <c r="D53" s="11" t="s">
        <v>986</v>
      </c>
      <c r="E53" s="11" t="s">
        <v>878</v>
      </c>
      <c r="F53" s="11" t="s">
        <v>795</v>
      </c>
      <c r="G53" s="11" t="s">
        <v>1494</v>
      </c>
      <c r="H53" s="11" t="s">
        <v>987</v>
      </c>
      <c r="I53" s="11" t="s">
        <v>1636</v>
      </c>
      <c r="J53" s="11" t="s">
        <v>266</v>
      </c>
      <c r="K53" s="11" t="s">
        <v>988</v>
      </c>
      <c r="L53" s="11" t="s">
        <v>1041</v>
      </c>
      <c r="M53" s="11"/>
      <c r="N53" s="11"/>
      <c r="O53" s="11" t="s">
        <v>15</v>
      </c>
      <c r="P53" s="11" t="s">
        <v>1062</v>
      </c>
      <c r="Q53" s="11"/>
      <c r="R53" s="11"/>
      <c r="S53" s="11"/>
      <c r="T53" s="11"/>
      <c r="U53" s="11" t="s">
        <v>1536</v>
      </c>
      <c r="V53" s="11" t="s">
        <v>1215</v>
      </c>
      <c r="W53" s="11" t="s">
        <v>1415</v>
      </c>
      <c r="X53" s="11" t="s">
        <v>1416</v>
      </c>
      <c r="Y53" s="11" t="s">
        <v>1417</v>
      </c>
      <c r="Z53" s="11" t="s">
        <v>1418</v>
      </c>
      <c r="AA53" s="11" t="s">
        <v>1419</v>
      </c>
      <c r="AB53" s="11" t="s">
        <v>1420</v>
      </c>
      <c r="AC53" s="11" t="s">
        <v>1637</v>
      </c>
      <c r="AD53" s="11" t="s">
        <v>1109</v>
      </c>
      <c r="AE53" s="11" t="s">
        <v>1109</v>
      </c>
      <c r="AF53" s="11" t="s">
        <v>1109</v>
      </c>
      <c r="AG53" s="11"/>
      <c r="AH53" s="11"/>
      <c r="AI53" s="11"/>
      <c r="AJ53" s="11" t="s">
        <v>52</v>
      </c>
      <c r="AK53" s="11" t="s">
        <v>1499</v>
      </c>
      <c r="AL53" s="11" t="s">
        <v>986</v>
      </c>
      <c r="AM53" s="11"/>
      <c r="AN53" s="11" t="s">
        <v>1500</v>
      </c>
      <c r="AO53" s="11" t="s">
        <v>1499</v>
      </c>
      <c r="AP53" s="11" t="s">
        <v>1501</v>
      </c>
      <c r="AQ53" s="11" t="s">
        <v>1502</v>
      </c>
      <c r="AR53" s="11" t="s">
        <v>1503</v>
      </c>
    </row>
    <row r="54" customFormat="false" ht="35.05" hidden="false" customHeight="false" outlineLevel="0" collapsed="false">
      <c r="A54" s="11" t="n">
        <v>53</v>
      </c>
      <c r="B54" s="11" t="s">
        <v>989</v>
      </c>
      <c r="C54" s="11" t="n">
        <v>2021</v>
      </c>
      <c r="D54" s="11" t="s">
        <v>990</v>
      </c>
      <c r="E54" s="11" t="s">
        <v>821</v>
      </c>
      <c r="F54" s="11" t="s">
        <v>795</v>
      </c>
      <c r="G54" s="11" t="s">
        <v>1494</v>
      </c>
      <c r="H54" s="11" t="s">
        <v>991</v>
      </c>
      <c r="I54" s="11" t="s">
        <v>1638</v>
      </c>
      <c r="J54" s="11" t="s">
        <v>858</v>
      </c>
      <c r="K54" s="11" t="s">
        <v>20</v>
      </c>
      <c r="L54" s="11" t="s">
        <v>1041</v>
      </c>
      <c r="M54" s="11"/>
      <c r="N54" s="11"/>
      <c r="O54" s="11" t="s">
        <v>15</v>
      </c>
      <c r="P54" s="11"/>
      <c r="Q54" s="11"/>
      <c r="R54" s="11"/>
      <c r="S54" s="11"/>
      <c r="T54" s="11"/>
      <c r="U54" s="11" t="s">
        <v>1639</v>
      </c>
      <c r="V54" s="11" t="s">
        <v>1215</v>
      </c>
      <c r="W54" s="11" t="s">
        <v>1421</v>
      </c>
      <c r="X54" s="11" t="s">
        <v>1422</v>
      </c>
      <c r="Y54" s="11" t="s">
        <v>1423</v>
      </c>
      <c r="Z54" s="11" t="s">
        <v>1424</v>
      </c>
      <c r="AA54" s="11" t="s">
        <v>1425</v>
      </c>
      <c r="AB54" s="11" t="s">
        <v>1426</v>
      </c>
      <c r="AC54" s="11" t="s">
        <v>1640</v>
      </c>
      <c r="AD54" s="11" t="s">
        <v>1109</v>
      </c>
      <c r="AE54" s="11" t="s">
        <v>1109</v>
      </c>
      <c r="AF54" s="11" t="s">
        <v>1109</v>
      </c>
      <c r="AG54" s="11"/>
      <c r="AH54" s="11"/>
      <c r="AI54" s="11"/>
      <c r="AJ54" s="11" t="s">
        <v>52</v>
      </c>
      <c r="AK54" s="11" t="s">
        <v>1499</v>
      </c>
      <c r="AL54" s="11" t="s">
        <v>990</v>
      </c>
      <c r="AM54" s="11"/>
      <c r="AN54" s="11" t="s">
        <v>1506</v>
      </c>
      <c r="AO54" s="11" t="s">
        <v>1499</v>
      </c>
      <c r="AP54" s="11" t="s">
        <v>1501</v>
      </c>
      <c r="AQ54" s="11" t="s">
        <v>1502</v>
      </c>
      <c r="AR54" s="11" t="s">
        <v>1503</v>
      </c>
    </row>
    <row r="55" customFormat="false" ht="35.05" hidden="false" customHeight="false" outlineLevel="0" collapsed="false">
      <c r="A55" s="11" t="n">
        <v>54</v>
      </c>
      <c r="B55" s="11" t="s">
        <v>992</v>
      </c>
      <c r="C55" s="11" t="n">
        <v>2023</v>
      </c>
      <c r="D55" s="11" t="s">
        <v>993</v>
      </c>
      <c r="E55" s="11" t="s">
        <v>821</v>
      </c>
      <c r="F55" s="11" t="s">
        <v>795</v>
      </c>
      <c r="G55" s="11" t="s">
        <v>1494</v>
      </c>
      <c r="H55" s="11" t="s">
        <v>994</v>
      </c>
      <c r="I55" s="11" t="s">
        <v>744</v>
      </c>
      <c r="J55" s="11" t="s">
        <v>744</v>
      </c>
      <c r="K55" s="11" t="s">
        <v>926</v>
      </c>
      <c r="L55" s="11" t="s">
        <v>1041</v>
      </c>
      <c r="M55" s="11" t="s">
        <v>1040</v>
      </c>
      <c r="N55" s="11" t="s">
        <v>1040</v>
      </c>
      <c r="O55" s="11" t="s">
        <v>15</v>
      </c>
      <c r="P55" s="11"/>
      <c r="Q55" s="11"/>
      <c r="R55" s="11"/>
      <c r="S55" s="11"/>
      <c r="T55" s="11"/>
      <c r="U55" s="11"/>
      <c r="V55" s="11" t="s">
        <v>1215</v>
      </c>
      <c r="W55" s="11" t="s">
        <v>1427</v>
      </c>
      <c r="X55" s="11" t="s">
        <v>1428</v>
      </c>
      <c r="Y55" s="11" t="s">
        <v>1429</v>
      </c>
      <c r="Z55" s="11" t="s">
        <v>1430</v>
      </c>
      <c r="AA55" s="11" t="s">
        <v>1431</v>
      </c>
      <c r="AB55" s="11" t="s">
        <v>1432</v>
      </c>
      <c r="AC55" s="11" t="s">
        <v>1641</v>
      </c>
      <c r="AD55" s="11" t="s">
        <v>1109</v>
      </c>
      <c r="AE55" s="11" t="s">
        <v>1109</v>
      </c>
      <c r="AF55" s="11" t="s">
        <v>1109</v>
      </c>
      <c r="AG55" s="11"/>
      <c r="AH55" s="11"/>
      <c r="AI55" s="11"/>
      <c r="AJ55" s="11" t="s">
        <v>52</v>
      </c>
      <c r="AK55" s="11" t="s">
        <v>1499</v>
      </c>
      <c r="AL55" s="11" t="s">
        <v>993</v>
      </c>
      <c r="AM55" s="11"/>
      <c r="AN55" s="11" t="s">
        <v>1506</v>
      </c>
      <c r="AO55" s="11" t="s">
        <v>1499</v>
      </c>
      <c r="AP55" s="11" t="s">
        <v>1501</v>
      </c>
      <c r="AQ55" s="11" t="s">
        <v>1502</v>
      </c>
      <c r="AR55" s="11" t="s">
        <v>1503</v>
      </c>
    </row>
    <row r="56" customFormat="false" ht="35.05" hidden="false" customHeight="false" outlineLevel="0" collapsed="false">
      <c r="A56" s="11" t="n">
        <v>55</v>
      </c>
      <c r="B56" s="11" t="s">
        <v>995</v>
      </c>
      <c r="C56" s="11" t="n">
        <v>2021</v>
      </c>
      <c r="D56" s="11" t="s">
        <v>996</v>
      </c>
      <c r="E56" s="11" t="s">
        <v>821</v>
      </c>
      <c r="F56" s="11" t="s">
        <v>795</v>
      </c>
      <c r="G56" s="11" t="s">
        <v>1494</v>
      </c>
      <c r="H56" s="11" t="s">
        <v>997</v>
      </c>
      <c r="I56" s="11" t="s">
        <v>1642</v>
      </c>
      <c r="J56" s="11" t="s">
        <v>744</v>
      </c>
      <c r="K56" s="11" t="s">
        <v>67</v>
      </c>
      <c r="L56" s="11" t="s">
        <v>1041</v>
      </c>
      <c r="M56" s="11"/>
      <c r="N56" s="11"/>
      <c r="O56" s="11" t="s">
        <v>11</v>
      </c>
      <c r="P56" s="11"/>
      <c r="Q56" s="11"/>
      <c r="R56" s="11"/>
      <c r="S56" s="11"/>
      <c r="T56" s="11"/>
      <c r="U56" s="11" t="s">
        <v>1536</v>
      </c>
      <c r="V56" s="11" t="s">
        <v>1215</v>
      </c>
      <c r="W56" s="11" t="s">
        <v>1433</v>
      </c>
      <c r="X56" s="11" t="s">
        <v>1434</v>
      </c>
      <c r="Y56" s="11" t="s">
        <v>1435</v>
      </c>
      <c r="Z56" s="11" t="s">
        <v>1436</v>
      </c>
      <c r="AA56" s="11" t="s">
        <v>1437</v>
      </c>
      <c r="AB56" s="11" t="s">
        <v>1438</v>
      </c>
      <c r="AC56" s="11" t="s">
        <v>1643</v>
      </c>
      <c r="AD56" s="11" t="s">
        <v>1109</v>
      </c>
      <c r="AE56" s="11" t="s">
        <v>1109</v>
      </c>
      <c r="AF56" s="11" t="s">
        <v>1109</v>
      </c>
      <c r="AG56" s="11"/>
      <c r="AH56" s="11"/>
      <c r="AI56" s="11"/>
      <c r="AJ56" s="11" t="s">
        <v>52</v>
      </c>
      <c r="AK56" s="11" t="s">
        <v>1499</v>
      </c>
      <c r="AL56" s="11" t="s">
        <v>996</v>
      </c>
      <c r="AM56" s="11"/>
      <c r="AN56" s="11" t="s">
        <v>1506</v>
      </c>
      <c r="AO56" s="11" t="s">
        <v>1499</v>
      </c>
      <c r="AP56" s="11" t="s">
        <v>1501</v>
      </c>
      <c r="AQ56" s="11" t="s">
        <v>1502</v>
      </c>
      <c r="AR56" s="11" t="s">
        <v>1503</v>
      </c>
    </row>
    <row r="57" customFormat="false" ht="35.05" hidden="false" customHeight="false" outlineLevel="0" collapsed="false">
      <c r="A57" s="11" t="n">
        <v>56</v>
      </c>
      <c r="B57" s="11" t="s">
        <v>995</v>
      </c>
      <c r="C57" s="11" t="n">
        <v>2023</v>
      </c>
      <c r="D57" s="11" t="s">
        <v>175</v>
      </c>
      <c r="E57" s="11" t="s">
        <v>878</v>
      </c>
      <c r="F57" s="11" t="s">
        <v>795</v>
      </c>
      <c r="G57" s="11" t="s">
        <v>1494</v>
      </c>
      <c r="H57" s="11" t="s">
        <v>998</v>
      </c>
      <c r="I57" s="11" t="s">
        <v>1644</v>
      </c>
      <c r="J57" s="11" t="s">
        <v>225</v>
      </c>
      <c r="K57" s="11" t="s">
        <v>67</v>
      </c>
      <c r="L57" s="11" t="s">
        <v>1041</v>
      </c>
      <c r="M57" s="11"/>
      <c r="N57" s="11"/>
      <c r="O57" s="11" t="s">
        <v>11</v>
      </c>
      <c r="P57" s="11" t="s">
        <v>1062</v>
      </c>
      <c r="Q57" s="11"/>
      <c r="R57" s="11"/>
      <c r="S57" s="11"/>
      <c r="T57" s="11"/>
      <c r="U57" s="11" t="s">
        <v>1645</v>
      </c>
      <c r="V57" s="11" t="s">
        <v>1439</v>
      </c>
      <c r="W57" s="11" t="s">
        <v>1646</v>
      </c>
      <c r="X57" s="11" t="s">
        <v>1647</v>
      </c>
      <c r="Y57" s="11" t="s">
        <v>1648</v>
      </c>
      <c r="Z57" s="11" t="s">
        <v>1649</v>
      </c>
      <c r="AA57" s="11" t="s">
        <v>1650</v>
      </c>
      <c r="AB57" s="11" t="s">
        <v>1651</v>
      </c>
      <c r="AC57" s="11" t="s">
        <v>1652</v>
      </c>
      <c r="AD57" s="11" t="s">
        <v>1109</v>
      </c>
      <c r="AE57" s="11" t="s">
        <v>1109</v>
      </c>
      <c r="AF57" s="11" t="s">
        <v>1109</v>
      </c>
      <c r="AG57" s="11"/>
      <c r="AH57" s="11"/>
      <c r="AI57" s="11"/>
      <c r="AJ57" s="11" t="s">
        <v>52</v>
      </c>
      <c r="AK57" s="11" t="s">
        <v>1499</v>
      </c>
      <c r="AL57" s="11" t="s">
        <v>999</v>
      </c>
      <c r="AM57" s="11"/>
      <c r="AN57" s="11" t="s">
        <v>1500</v>
      </c>
      <c r="AO57" s="11" t="s">
        <v>1499</v>
      </c>
      <c r="AP57" s="11" t="s">
        <v>1501</v>
      </c>
      <c r="AQ57" s="11" t="s">
        <v>1502</v>
      </c>
      <c r="AR57" s="11" t="s">
        <v>1503</v>
      </c>
    </row>
    <row r="58" customFormat="false" ht="35.05" hidden="false" customHeight="false" outlineLevel="0" collapsed="false">
      <c r="A58" s="11" t="n">
        <v>57</v>
      </c>
      <c r="B58" s="11" t="s">
        <v>1000</v>
      </c>
      <c r="C58" s="11" t="n">
        <v>2024</v>
      </c>
      <c r="D58" s="11" t="s">
        <v>177</v>
      </c>
      <c r="E58" s="11" t="s">
        <v>21</v>
      </c>
      <c r="F58" s="11" t="s">
        <v>835</v>
      </c>
      <c r="G58" s="11" t="s">
        <v>1653</v>
      </c>
      <c r="H58" s="11" t="s">
        <v>836</v>
      </c>
      <c r="I58" s="11" t="s">
        <v>775</v>
      </c>
      <c r="J58" s="11" t="s">
        <v>775</v>
      </c>
      <c r="K58" s="11" t="s">
        <v>21</v>
      </c>
      <c r="L58" s="11" t="s">
        <v>1044</v>
      </c>
      <c r="M58" s="11"/>
      <c r="N58" s="11"/>
      <c r="O58" s="11" t="s">
        <v>15</v>
      </c>
      <c r="P58" s="11"/>
      <c r="Q58" s="11"/>
      <c r="R58" s="11"/>
      <c r="S58" s="11"/>
      <c r="T58" s="11"/>
      <c r="U58" s="11" t="s">
        <v>1598</v>
      </c>
      <c r="V58" s="11" t="s">
        <v>1215</v>
      </c>
      <c r="W58" s="11" t="s">
        <v>776</v>
      </c>
      <c r="X58" s="11" t="s">
        <v>1654</v>
      </c>
      <c r="Y58" s="11" t="s">
        <v>1655</v>
      </c>
      <c r="Z58" s="11" t="s">
        <v>1656</v>
      </c>
      <c r="AA58" s="11" t="s">
        <v>1657</v>
      </c>
      <c r="AB58" s="11" t="s">
        <v>1658</v>
      </c>
      <c r="AC58" s="11" t="s">
        <v>1659</v>
      </c>
      <c r="AD58" s="11" t="s">
        <v>1109</v>
      </c>
      <c r="AE58" s="11" t="s">
        <v>1109</v>
      </c>
      <c r="AF58" s="11" t="s">
        <v>1109</v>
      </c>
      <c r="AG58" s="11"/>
      <c r="AH58" s="11"/>
      <c r="AI58" s="11"/>
      <c r="AJ58" s="11" t="s">
        <v>52</v>
      </c>
      <c r="AK58" s="11" t="s">
        <v>1499</v>
      </c>
      <c r="AL58" s="11" t="s">
        <v>1001</v>
      </c>
      <c r="AM58" s="11"/>
      <c r="AN58" s="11" t="s">
        <v>1506</v>
      </c>
      <c r="AO58" s="11" t="s">
        <v>1499</v>
      </c>
      <c r="AP58" s="11" t="s">
        <v>1501</v>
      </c>
      <c r="AQ58" s="11" t="s">
        <v>1502</v>
      </c>
      <c r="AR58" s="11" t="s">
        <v>1516</v>
      </c>
    </row>
    <row r="59" customFormat="false" ht="35.05" hidden="false" customHeight="false" outlineLevel="0" collapsed="false">
      <c r="A59" s="11" t="n">
        <v>58</v>
      </c>
      <c r="B59" s="11" t="s">
        <v>1002</v>
      </c>
      <c r="C59" s="11" t="n">
        <v>2024</v>
      </c>
      <c r="D59" s="11" t="s">
        <v>179</v>
      </c>
      <c r="E59" s="11" t="s">
        <v>821</v>
      </c>
      <c r="F59" s="11" t="s">
        <v>795</v>
      </c>
      <c r="G59" s="11" t="s">
        <v>1494</v>
      </c>
      <c r="H59" s="11" t="s">
        <v>1003</v>
      </c>
      <c r="I59" s="11" t="s">
        <v>1660</v>
      </c>
      <c r="J59" s="11" t="s">
        <v>245</v>
      </c>
      <c r="K59" s="11" t="s">
        <v>1004</v>
      </c>
      <c r="L59" s="11" t="s">
        <v>1046</v>
      </c>
      <c r="M59" s="11" t="s">
        <v>1051</v>
      </c>
      <c r="N59" s="11" t="s">
        <v>1052</v>
      </c>
      <c r="O59" s="11" t="s">
        <v>10</v>
      </c>
      <c r="P59" s="11" t="s">
        <v>1567</v>
      </c>
      <c r="Q59" s="11" t="s">
        <v>1071</v>
      </c>
      <c r="R59" s="11" t="s">
        <v>1072</v>
      </c>
      <c r="S59" s="11"/>
      <c r="T59" s="11"/>
      <c r="U59" s="11" t="s">
        <v>1661</v>
      </c>
      <c r="V59" s="11" t="s">
        <v>1022</v>
      </c>
      <c r="W59" s="11" t="s">
        <v>1662</v>
      </c>
      <c r="X59" s="11" t="s">
        <v>1663</v>
      </c>
      <c r="Y59" s="11" t="s">
        <v>1664</v>
      </c>
      <c r="Z59" s="11" t="s">
        <v>1665</v>
      </c>
      <c r="AA59" s="11" t="s">
        <v>1666</v>
      </c>
      <c r="AB59" s="11" t="s">
        <v>1667</v>
      </c>
      <c r="AC59" s="11" t="s">
        <v>1668</v>
      </c>
      <c r="AD59" s="11" t="s">
        <v>1109</v>
      </c>
      <c r="AE59" s="11" t="s">
        <v>1109</v>
      </c>
      <c r="AF59" s="11" t="s">
        <v>1109</v>
      </c>
      <c r="AG59" s="11"/>
      <c r="AH59" s="11"/>
      <c r="AI59" s="11"/>
      <c r="AJ59" s="11" t="s">
        <v>52</v>
      </c>
      <c r="AK59" s="11" t="s">
        <v>1499</v>
      </c>
      <c r="AL59" s="11" t="s">
        <v>1005</v>
      </c>
      <c r="AM59" s="11"/>
      <c r="AN59" s="11" t="s">
        <v>1500</v>
      </c>
      <c r="AO59" s="11" t="s">
        <v>1499</v>
      </c>
      <c r="AP59" s="11" t="s">
        <v>1501</v>
      </c>
      <c r="AQ59" s="11" t="s">
        <v>1502</v>
      </c>
      <c r="AR59" s="11" t="s">
        <v>1503</v>
      </c>
    </row>
    <row r="60" customFormat="false" ht="15" hidden="false" customHeight="false" outlineLevel="0" collapsed="false">
      <c r="A60" s="1" t="n">
        <v>59</v>
      </c>
      <c r="B60" s="1" t="s">
        <v>1006</v>
      </c>
      <c r="C60" s="1" t="n">
        <v>2026</v>
      </c>
      <c r="D60" s="1" t="s">
        <v>181</v>
      </c>
      <c r="E60" s="1" t="s">
        <v>821</v>
      </c>
      <c r="F60" s="1" t="s">
        <v>795</v>
      </c>
      <c r="G60" s="1" t="s">
        <v>1669</v>
      </c>
      <c r="H60" s="1" t="s">
        <v>1007</v>
      </c>
      <c r="I60" s="1" t="s">
        <v>1670</v>
      </c>
      <c r="J60" s="1" t="s">
        <v>1008</v>
      </c>
      <c r="K60" s="1" t="s">
        <v>70</v>
      </c>
      <c r="L60" s="1" t="s">
        <v>1055</v>
      </c>
      <c r="M60" s="1" t="s">
        <v>1053</v>
      </c>
      <c r="N60" s="1" t="s">
        <v>1054</v>
      </c>
      <c r="O60" s="1" t="s">
        <v>1671</v>
      </c>
      <c r="P60" s="1" t="s">
        <v>1672</v>
      </c>
      <c r="S60" s="1" t="n">
        <v>2</v>
      </c>
      <c r="T60" s="1" t="n">
        <v>1</v>
      </c>
      <c r="U60" s="1" t="s">
        <v>1673</v>
      </c>
      <c r="V60" s="1" t="s">
        <v>1441</v>
      </c>
      <c r="W60" s="1" t="s">
        <v>797</v>
      </c>
      <c r="X60" s="1" t="s">
        <v>798</v>
      </c>
      <c r="Y60" s="1" t="s">
        <v>799</v>
      </c>
      <c r="Z60" s="1" t="s">
        <v>800</v>
      </c>
      <c r="AA60" s="1" t="s">
        <v>801</v>
      </c>
      <c r="AB60" s="1" t="s">
        <v>802</v>
      </c>
      <c r="AC60" s="1" t="s">
        <v>804</v>
      </c>
      <c r="AD60" s="1" t="s">
        <v>1109</v>
      </c>
      <c r="AE60" s="1" t="s">
        <v>1109</v>
      </c>
      <c r="AF60" s="1" t="s">
        <v>1109</v>
      </c>
      <c r="AH60" s="1" t="s">
        <v>1009</v>
      </c>
      <c r="AI60" s="1" t="s">
        <v>1674</v>
      </c>
      <c r="AJ60" s="1" t="s">
        <v>52</v>
      </c>
      <c r="AK60" s="1" t="s">
        <v>1499</v>
      </c>
      <c r="AL60" s="1" t="s">
        <v>794</v>
      </c>
      <c r="AM60" s="1" t="s">
        <v>1675</v>
      </c>
      <c r="AN60" s="1" t="s">
        <v>1676</v>
      </c>
      <c r="AO60" s="1" t="s">
        <v>1499</v>
      </c>
      <c r="AP60" s="1" t="s">
        <v>1677</v>
      </c>
      <c r="AQ60" s="1" t="s">
        <v>1678</v>
      </c>
      <c r="AR60" s="1" t="s">
        <v>1503</v>
      </c>
    </row>
  </sheetData>
  <conditionalFormatting sqref="F2:F59">
    <cfRule type="expression" priority="2" aboveAverage="0" equalAverage="0" bottom="0" percent="0" rank="0" text="" dxfId="26">
      <formula>F2="Include"</formula>
    </cfRule>
    <cfRule type="expression" priority="3" aboveAverage="0" equalAverage="0" bottom="0" percent="0" rank="0" text="" dxfId="27">
      <formula>F2="Contextual"</formula>
    </cfRule>
    <cfRule type="expression" priority="4" aboveAverage="0" equalAverage="0" bottom="0" percent="0" rank="0" text="" dxfId="28">
      <formula>F2="Exclude"</formula>
    </cfRule>
    <cfRule type="expression" priority="5" aboveAverage="0" equalAverage="0" bottom="0" percent="0" rank="0" text="" dxfId="29">
      <formula>F2="Duplicate"</formula>
    </cfRule>
  </conditionalFormatting>
  <dataValidations count="3">
    <dataValidation allowBlank="false" errorStyle="stop" operator="between" showDropDown="false" showErrorMessage="false" showInputMessage="false" sqref="F2:F59" type="list">
      <formula1>"Include,Contextual,Exclude,Duplicate"</formula1>
      <formula2>0</formula2>
    </dataValidation>
    <dataValidation allowBlank="false" errorStyle="stop" operator="between" showDropDown="false" showErrorMessage="false" showInputMessage="false" sqref="AJ2:AJ59" type="list">
      <formula1>"High,Medium,Low"</formula1>
      <formula2>0</formula2>
    </dataValidation>
    <dataValidation allowBlank="false" errorStyle="stop" operator="between" showDropDown="false" showErrorMessage="false" showInputMessage="false" sqref="AK2:AK59" type="list">
      <formula1>"Verified against full text/abstract,Requires final full-text confirmation,Metadata only"</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52" min="3" style="1" width="15"/>
  </cols>
  <sheetData>
    <row r="1" customFormat="false" ht="36" hidden="false" customHeight="true" outlineLevel="0" collapsed="false">
      <c r="A1" s="6" t="s">
        <v>805</v>
      </c>
      <c r="B1" s="5" t="s">
        <v>1012</v>
      </c>
      <c r="C1" s="5" t="s">
        <v>810</v>
      </c>
      <c r="D1" s="5" t="s">
        <v>10</v>
      </c>
      <c r="E1" s="5" t="s">
        <v>12</v>
      </c>
      <c r="F1" s="5" t="s">
        <v>1013</v>
      </c>
      <c r="G1" s="5" t="s">
        <v>1014</v>
      </c>
      <c r="H1" s="5" t="s">
        <v>1058</v>
      </c>
      <c r="I1" s="5" t="s">
        <v>1679</v>
      </c>
      <c r="J1" s="5" t="s">
        <v>1015</v>
      </c>
      <c r="K1" s="5" t="s">
        <v>1016</v>
      </c>
      <c r="L1" s="5" t="s">
        <v>1680</v>
      </c>
      <c r="M1" s="5" t="s">
        <v>1017</v>
      </c>
      <c r="N1" s="5" t="s">
        <v>1018</v>
      </c>
      <c r="O1" s="5" t="s">
        <v>1681</v>
      </c>
      <c r="P1" s="5" t="s">
        <v>1023</v>
      </c>
      <c r="Q1" s="5" t="s">
        <v>1025</v>
      </c>
      <c r="R1" s="5" t="s">
        <v>1026</v>
      </c>
      <c r="S1" s="5" t="s">
        <v>1682</v>
      </c>
      <c r="T1" s="5" t="s">
        <v>1683</v>
      </c>
      <c r="U1" s="5" t="s">
        <v>1684</v>
      </c>
      <c r="V1" s="5" t="s">
        <v>1020</v>
      </c>
      <c r="W1" s="5" t="s">
        <v>1021</v>
      </c>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s">
        <v>822</v>
      </c>
      <c r="D2" s="5" t="n">
        <v>1</v>
      </c>
      <c r="E2" s="5" t="n">
        <v>1</v>
      </c>
      <c r="F2" s="5" t="n">
        <v>1</v>
      </c>
      <c r="G2" s="5" t="n">
        <v>1</v>
      </c>
      <c r="H2" s="5" t="n">
        <v>1</v>
      </c>
      <c r="I2" s="5" t="n">
        <v>0</v>
      </c>
      <c r="J2" s="5" t="n">
        <v>0</v>
      </c>
      <c r="K2" s="5" t="n">
        <v>0</v>
      </c>
      <c r="L2" s="5" t="n">
        <v>0</v>
      </c>
      <c r="M2" s="5" t="n">
        <v>0</v>
      </c>
      <c r="N2" s="5" t="n">
        <v>0</v>
      </c>
      <c r="O2" s="5" t="n">
        <v>0</v>
      </c>
      <c r="P2" s="5" t="n">
        <v>0</v>
      </c>
      <c r="Q2" s="5" t="n">
        <v>0</v>
      </c>
      <c r="R2" s="5" t="n">
        <v>0</v>
      </c>
      <c r="S2" s="5" t="n">
        <v>0</v>
      </c>
      <c r="T2" s="5" t="n">
        <v>0</v>
      </c>
      <c r="U2" s="5" t="n">
        <v>0</v>
      </c>
      <c r="V2" s="5" t="n">
        <v>1</v>
      </c>
      <c r="W2" s="5" t="n">
        <v>0</v>
      </c>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s">
        <v>822</v>
      </c>
      <c r="D3" s="5" t="n">
        <v>1</v>
      </c>
      <c r="E3" s="5" t="n">
        <v>1</v>
      </c>
      <c r="F3" s="5" t="n">
        <v>1</v>
      </c>
      <c r="G3" s="5" t="n">
        <v>1</v>
      </c>
      <c r="H3" s="5" t="n">
        <v>1</v>
      </c>
      <c r="I3" s="5" t="n">
        <v>0</v>
      </c>
      <c r="J3" s="5" t="n">
        <v>0</v>
      </c>
      <c r="K3" s="5" t="n">
        <v>0</v>
      </c>
      <c r="L3" s="5" t="n">
        <v>0</v>
      </c>
      <c r="M3" s="5" t="n">
        <v>1</v>
      </c>
      <c r="N3" s="5" t="n">
        <v>0</v>
      </c>
      <c r="O3" s="5" t="n">
        <v>0</v>
      </c>
      <c r="P3" s="5" t="n">
        <v>0</v>
      </c>
      <c r="Q3" s="5" t="n">
        <v>0</v>
      </c>
      <c r="R3" s="5" t="n">
        <v>0</v>
      </c>
      <c r="S3" s="5" t="n">
        <v>1</v>
      </c>
      <c r="T3" s="5" t="n">
        <v>0</v>
      </c>
      <c r="U3" s="5" t="n">
        <v>0</v>
      </c>
      <c r="V3" s="5" t="n">
        <v>1</v>
      </c>
      <c r="W3" s="5" t="n">
        <v>0</v>
      </c>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s">
        <v>829</v>
      </c>
      <c r="D4" s="5" t="n">
        <v>1</v>
      </c>
      <c r="E4" s="5" t="n">
        <v>1</v>
      </c>
      <c r="F4" s="5" t="n">
        <v>1</v>
      </c>
      <c r="G4" s="5" t="n">
        <v>1</v>
      </c>
      <c r="H4" s="5" t="n">
        <v>0</v>
      </c>
      <c r="I4" s="5" t="n">
        <v>0</v>
      </c>
      <c r="J4" s="5" t="n">
        <v>0</v>
      </c>
      <c r="K4" s="5" t="n">
        <v>0</v>
      </c>
      <c r="L4" s="5" t="n">
        <v>0</v>
      </c>
      <c r="M4" s="5" t="n">
        <v>0</v>
      </c>
      <c r="N4" s="5" t="n">
        <v>0</v>
      </c>
      <c r="O4" s="5" t="n">
        <v>0</v>
      </c>
      <c r="P4" s="5" t="n">
        <v>0</v>
      </c>
      <c r="Q4" s="5" t="n">
        <v>0</v>
      </c>
      <c r="R4" s="5" t="n">
        <v>0</v>
      </c>
      <c r="S4" s="5" t="n">
        <v>1</v>
      </c>
      <c r="T4" s="5" t="n">
        <v>0</v>
      </c>
      <c r="U4" s="5" t="n">
        <v>0</v>
      </c>
      <c r="V4" s="5" t="n">
        <v>0</v>
      </c>
      <c r="W4" s="5" t="n">
        <v>0</v>
      </c>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s">
        <v>831</v>
      </c>
      <c r="D5" s="5" t="n">
        <v>1</v>
      </c>
      <c r="E5" s="5" t="n">
        <v>1</v>
      </c>
      <c r="F5" s="5" t="n">
        <v>1</v>
      </c>
      <c r="G5" s="5" t="n">
        <v>1</v>
      </c>
      <c r="H5" s="5" t="n">
        <v>1</v>
      </c>
      <c r="I5" s="5" t="n">
        <v>0</v>
      </c>
      <c r="J5" s="5" t="n">
        <v>0</v>
      </c>
      <c r="K5" s="5" t="n">
        <v>0</v>
      </c>
      <c r="L5" s="5" t="n">
        <v>0</v>
      </c>
      <c r="M5" s="5" t="n">
        <v>0</v>
      </c>
      <c r="N5" s="5" t="n">
        <v>0</v>
      </c>
      <c r="O5" s="5" t="n">
        <v>0</v>
      </c>
      <c r="P5" s="5" t="n">
        <v>0</v>
      </c>
      <c r="Q5" s="5" t="n">
        <v>0</v>
      </c>
      <c r="R5" s="5" t="n">
        <v>0</v>
      </c>
      <c r="S5" s="5" t="n">
        <v>1</v>
      </c>
      <c r="T5" s="5" t="n">
        <v>0</v>
      </c>
      <c r="U5" s="5" t="n">
        <v>0</v>
      </c>
      <c r="V5" s="5" t="n">
        <v>1</v>
      </c>
      <c r="W5" s="5" t="n">
        <v>0</v>
      </c>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s">
        <v>836</v>
      </c>
      <c r="D6" s="5" t="n">
        <v>1</v>
      </c>
      <c r="E6" s="5" t="n">
        <v>1</v>
      </c>
      <c r="F6" s="5" t="n">
        <v>1</v>
      </c>
      <c r="G6" s="5" t="n">
        <v>1</v>
      </c>
      <c r="H6" s="5" t="n">
        <v>0</v>
      </c>
      <c r="I6" s="5" t="n">
        <v>0</v>
      </c>
      <c r="J6" s="5" t="n">
        <v>0</v>
      </c>
      <c r="K6" s="5" t="n">
        <v>0</v>
      </c>
      <c r="L6" s="5" t="n">
        <v>0</v>
      </c>
      <c r="M6" s="5" t="n">
        <v>0</v>
      </c>
      <c r="N6" s="5" t="n">
        <v>0</v>
      </c>
      <c r="O6" s="5" t="n">
        <v>0</v>
      </c>
      <c r="P6" s="5" t="n">
        <v>0</v>
      </c>
      <c r="Q6" s="5" t="n">
        <v>0</v>
      </c>
      <c r="R6" s="5" t="n">
        <v>1</v>
      </c>
      <c r="S6" s="5" t="n">
        <v>1</v>
      </c>
      <c r="T6" s="5" t="n">
        <v>0</v>
      </c>
      <c r="U6" s="5" t="n">
        <v>0</v>
      </c>
      <c r="V6" s="5" t="n">
        <v>0</v>
      </c>
      <c r="W6" s="5" t="n">
        <v>0</v>
      </c>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35.05" hidden="false" customHeight="false" outlineLevel="0" collapsed="false">
      <c r="A7" s="5" t="n">
        <v>6</v>
      </c>
      <c r="B7" s="5" t="s">
        <v>839</v>
      </c>
      <c r="C7" s="5" t="s">
        <v>17</v>
      </c>
      <c r="D7" s="5" t="n">
        <v>1</v>
      </c>
      <c r="E7" s="5" t="n">
        <v>1</v>
      </c>
      <c r="F7" s="5" t="n">
        <v>1</v>
      </c>
      <c r="G7" s="5" t="n">
        <v>1</v>
      </c>
      <c r="H7" s="5" t="n">
        <v>0</v>
      </c>
      <c r="I7" s="5" t="n">
        <v>0</v>
      </c>
      <c r="J7" s="5" t="n">
        <v>1</v>
      </c>
      <c r="K7" s="5" t="n">
        <v>1</v>
      </c>
      <c r="L7" s="5" t="n">
        <v>0</v>
      </c>
      <c r="M7" s="5" t="n">
        <v>0</v>
      </c>
      <c r="N7" s="5" t="n">
        <v>0</v>
      </c>
      <c r="O7" s="5" t="n">
        <v>0</v>
      </c>
      <c r="P7" s="5" t="n">
        <v>0</v>
      </c>
      <c r="Q7" s="5" t="n">
        <v>0</v>
      </c>
      <c r="R7" s="5" t="n">
        <v>0</v>
      </c>
      <c r="S7" s="5" t="n">
        <v>1</v>
      </c>
      <c r="T7" s="5" t="n">
        <v>0</v>
      </c>
      <c r="U7" s="5" t="n">
        <v>0</v>
      </c>
      <c r="V7" s="5" t="n">
        <v>0</v>
      </c>
      <c r="W7" s="5" t="n">
        <v>0</v>
      </c>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s">
        <v>844</v>
      </c>
      <c r="D8" s="5" t="n">
        <v>1</v>
      </c>
      <c r="E8" s="5" t="n">
        <v>1</v>
      </c>
      <c r="F8" s="5" t="n">
        <v>1</v>
      </c>
      <c r="G8" s="5" t="n">
        <v>1</v>
      </c>
      <c r="H8" s="5" t="n">
        <v>0</v>
      </c>
      <c r="I8" s="5" t="n">
        <v>0</v>
      </c>
      <c r="J8" s="5" t="n">
        <v>0</v>
      </c>
      <c r="K8" s="5" t="n">
        <v>0</v>
      </c>
      <c r="L8" s="5" t="n">
        <v>0</v>
      </c>
      <c r="M8" s="5" t="n">
        <v>1</v>
      </c>
      <c r="N8" s="5" t="n">
        <v>0</v>
      </c>
      <c r="O8" s="5" t="n">
        <v>0</v>
      </c>
      <c r="P8" s="5" t="n">
        <v>1</v>
      </c>
      <c r="Q8" s="5" t="n">
        <v>0</v>
      </c>
      <c r="R8" s="5" t="n">
        <v>0</v>
      </c>
      <c r="S8" s="5" t="n">
        <v>1</v>
      </c>
      <c r="T8" s="5" t="n">
        <v>0</v>
      </c>
      <c r="U8" s="5" t="n">
        <v>0</v>
      </c>
      <c r="V8" s="5" t="n">
        <v>0</v>
      </c>
      <c r="W8" s="5" t="n">
        <v>0</v>
      </c>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46.25" hidden="false" customHeight="false" outlineLevel="0" collapsed="false">
      <c r="A9" s="5" t="n">
        <v>8</v>
      </c>
      <c r="B9" s="5" t="s">
        <v>847</v>
      </c>
      <c r="C9" s="5" t="s">
        <v>849</v>
      </c>
      <c r="D9" s="5" t="n">
        <v>1</v>
      </c>
      <c r="E9" s="5" t="n">
        <v>1</v>
      </c>
      <c r="F9" s="5" t="n">
        <v>1</v>
      </c>
      <c r="G9" s="5" t="n">
        <v>1</v>
      </c>
      <c r="H9" s="5" t="n">
        <v>0</v>
      </c>
      <c r="I9" s="5" t="n">
        <v>0</v>
      </c>
      <c r="J9" s="5" t="n">
        <v>1</v>
      </c>
      <c r="K9" s="5" t="n">
        <v>1</v>
      </c>
      <c r="L9" s="5" t="n">
        <v>0</v>
      </c>
      <c r="M9" s="5" t="n">
        <v>0</v>
      </c>
      <c r="N9" s="5" t="n">
        <v>0</v>
      </c>
      <c r="O9" s="5" t="n">
        <v>0</v>
      </c>
      <c r="P9" s="5" t="n">
        <v>0</v>
      </c>
      <c r="Q9" s="5" t="n">
        <v>0</v>
      </c>
      <c r="R9" s="5" t="n">
        <v>0</v>
      </c>
      <c r="S9" s="5" t="n">
        <v>1</v>
      </c>
      <c r="T9" s="5" t="n">
        <v>0</v>
      </c>
      <c r="U9" s="5" t="n">
        <v>0</v>
      </c>
      <c r="V9" s="5" t="n">
        <v>0</v>
      </c>
      <c r="W9" s="5" t="n">
        <v>0</v>
      </c>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s">
        <v>11</v>
      </c>
      <c r="D10" s="5" t="n">
        <v>1</v>
      </c>
      <c r="E10" s="5" t="n">
        <v>1</v>
      </c>
      <c r="F10" s="5" t="n">
        <v>1</v>
      </c>
      <c r="G10" s="5" t="n">
        <v>1</v>
      </c>
      <c r="H10" s="5" t="n">
        <v>1</v>
      </c>
      <c r="I10" s="5" t="n">
        <v>0</v>
      </c>
      <c r="J10" s="5" t="n">
        <v>0</v>
      </c>
      <c r="K10" s="5" t="n">
        <v>0</v>
      </c>
      <c r="L10" s="5" t="n">
        <v>0</v>
      </c>
      <c r="M10" s="5" t="n">
        <v>0</v>
      </c>
      <c r="N10" s="5" t="n">
        <v>0</v>
      </c>
      <c r="O10" s="5" t="n">
        <v>0</v>
      </c>
      <c r="P10" s="5" t="n">
        <v>0</v>
      </c>
      <c r="Q10" s="5" t="n">
        <v>0</v>
      </c>
      <c r="R10" s="5" t="n">
        <v>0</v>
      </c>
      <c r="S10" s="5" t="n">
        <v>1</v>
      </c>
      <c r="T10" s="5" t="n">
        <v>0</v>
      </c>
      <c r="U10" s="5" t="n">
        <v>0</v>
      </c>
      <c r="V10" s="5" t="n">
        <v>0</v>
      </c>
      <c r="W10" s="5" t="n">
        <v>0</v>
      </c>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s">
        <v>11</v>
      </c>
      <c r="D11" s="5" t="n">
        <v>1</v>
      </c>
      <c r="E11" s="5" t="n">
        <v>1</v>
      </c>
      <c r="F11" s="5" t="n">
        <v>1</v>
      </c>
      <c r="G11" s="5" t="n">
        <v>1</v>
      </c>
      <c r="H11" s="5" t="n">
        <v>0</v>
      </c>
      <c r="I11" s="5" t="n">
        <v>0</v>
      </c>
      <c r="J11" s="5" t="n">
        <v>0</v>
      </c>
      <c r="K11" s="5" t="n">
        <v>0</v>
      </c>
      <c r="L11" s="5" t="n">
        <v>0</v>
      </c>
      <c r="M11" s="5" t="n">
        <v>0</v>
      </c>
      <c r="N11" s="5" t="n">
        <v>0</v>
      </c>
      <c r="O11" s="5" t="n">
        <v>0</v>
      </c>
      <c r="P11" s="5" t="n">
        <v>0</v>
      </c>
      <c r="Q11" s="5" t="n">
        <v>0</v>
      </c>
      <c r="R11" s="5" t="n">
        <v>0</v>
      </c>
      <c r="S11" s="5" t="n">
        <v>1</v>
      </c>
      <c r="T11" s="5" t="n">
        <v>0</v>
      </c>
      <c r="U11" s="5" t="n">
        <v>0</v>
      </c>
      <c r="V11" s="5" t="n">
        <v>0</v>
      </c>
      <c r="W11" s="5" t="n">
        <v>0</v>
      </c>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s">
        <v>855</v>
      </c>
      <c r="D12" s="5" t="n">
        <v>1</v>
      </c>
      <c r="E12" s="5" t="n">
        <v>1</v>
      </c>
      <c r="F12" s="5" t="n">
        <v>1</v>
      </c>
      <c r="G12" s="5" t="n">
        <v>1</v>
      </c>
      <c r="H12" s="5" t="n">
        <v>0</v>
      </c>
      <c r="I12" s="5" t="n">
        <v>0</v>
      </c>
      <c r="J12" s="5" t="n">
        <v>0</v>
      </c>
      <c r="K12" s="5" t="n">
        <v>0</v>
      </c>
      <c r="L12" s="5" t="n">
        <v>0</v>
      </c>
      <c r="M12" s="5" t="n">
        <v>1</v>
      </c>
      <c r="N12" s="5" t="n">
        <v>1</v>
      </c>
      <c r="O12" s="5" t="n">
        <v>0</v>
      </c>
      <c r="P12" s="5" t="n">
        <v>0</v>
      </c>
      <c r="Q12" s="5" t="n">
        <v>0</v>
      </c>
      <c r="R12" s="5" t="n">
        <v>0</v>
      </c>
      <c r="S12" s="5" t="n">
        <v>0</v>
      </c>
      <c r="T12" s="5" t="n">
        <v>0</v>
      </c>
      <c r="U12" s="5" t="n">
        <v>0</v>
      </c>
      <c r="V12" s="5" t="n">
        <v>0</v>
      </c>
      <c r="W12" s="5" t="n">
        <v>0</v>
      </c>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s">
        <v>855</v>
      </c>
      <c r="D13" s="5" t="n">
        <v>1</v>
      </c>
      <c r="E13" s="5" t="n">
        <v>1</v>
      </c>
      <c r="F13" s="5" t="n">
        <v>1</v>
      </c>
      <c r="G13" s="5" t="n">
        <v>1</v>
      </c>
      <c r="H13" s="5" t="n">
        <v>1</v>
      </c>
      <c r="I13" s="5" t="n">
        <v>0</v>
      </c>
      <c r="J13" s="5" t="n">
        <v>1</v>
      </c>
      <c r="K13" s="5" t="n">
        <v>1</v>
      </c>
      <c r="L13" s="5" t="n">
        <v>0</v>
      </c>
      <c r="M13" s="5" t="n">
        <v>1</v>
      </c>
      <c r="N13" s="5" t="n">
        <v>1</v>
      </c>
      <c r="O13" s="5" t="n">
        <v>0</v>
      </c>
      <c r="P13" s="5" t="n">
        <v>0</v>
      </c>
      <c r="Q13" s="5" t="n">
        <v>0</v>
      </c>
      <c r="R13" s="5" t="n">
        <v>0</v>
      </c>
      <c r="S13" s="5" t="n">
        <v>0</v>
      </c>
      <c r="T13" s="5" t="n">
        <v>0</v>
      </c>
      <c r="U13" s="5" t="n">
        <v>0</v>
      </c>
      <c r="V13" s="5" t="n">
        <v>0</v>
      </c>
      <c r="W13" s="5" t="n">
        <v>0</v>
      </c>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35.05" hidden="false" customHeight="false" outlineLevel="0" collapsed="false">
      <c r="A14" s="5" t="n">
        <v>13</v>
      </c>
      <c r="B14" s="5" t="s">
        <v>860</v>
      </c>
      <c r="C14" s="5" t="s">
        <v>861</v>
      </c>
      <c r="D14" s="5" t="n">
        <v>1</v>
      </c>
      <c r="E14" s="5" t="n">
        <v>1</v>
      </c>
      <c r="F14" s="5" t="n">
        <v>1</v>
      </c>
      <c r="G14" s="5" t="n">
        <v>1</v>
      </c>
      <c r="H14" s="5" t="n">
        <v>0</v>
      </c>
      <c r="I14" s="5" t="n">
        <v>0</v>
      </c>
      <c r="J14" s="5" t="n">
        <v>1</v>
      </c>
      <c r="K14" s="5" t="n">
        <v>1</v>
      </c>
      <c r="L14" s="5" t="n">
        <v>0</v>
      </c>
      <c r="M14" s="5" t="n">
        <v>0</v>
      </c>
      <c r="N14" s="5" t="n">
        <v>0</v>
      </c>
      <c r="O14" s="5" t="n">
        <v>0</v>
      </c>
      <c r="P14" s="5" t="n">
        <v>0</v>
      </c>
      <c r="Q14" s="5" t="n">
        <v>0</v>
      </c>
      <c r="R14" s="5" t="n">
        <v>1</v>
      </c>
      <c r="S14" s="5" t="n">
        <v>1</v>
      </c>
      <c r="T14" s="5" t="n">
        <v>0</v>
      </c>
      <c r="U14" s="5" t="n">
        <v>0</v>
      </c>
      <c r="V14" s="5" t="n">
        <v>0</v>
      </c>
      <c r="W14" s="5" t="n">
        <v>0</v>
      </c>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35.05" hidden="false" customHeight="false" outlineLevel="0" collapsed="false">
      <c r="A15" s="5" t="n">
        <v>14</v>
      </c>
      <c r="B15" s="5" t="s">
        <v>864</v>
      </c>
      <c r="C15" s="5" t="s">
        <v>865</v>
      </c>
      <c r="D15" s="5" t="n">
        <v>1</v>
      </c>
      <c r="E15" s="5" t="n">
        <v>1</v>
      </c>
      <c r="F15" s="5" t="n">
        <v>1</v>
      </c>
      <c r="G15" s="5" t="n">
        <v>1</v>
      </c>
      <c r="H15" s="5" t="n">
        <v>0</v>
      </c>
      <c r="I15" s="5" t="n">
        <v>0</v>
      </c>
      <c r="J15" s="5" t="n">
        <v>0</v>
      </c>
      <c r="K15" s="5" t="n">
        <v>0</v>
      </c>
      <c r="L15" s="5" t="n">
        <v>0</v>
      </c>
      <c r="M15" s="5" t="n">
        <v>0</v>
      </c>
      <c r="N15" s="5" t="n">
        <v>1</v>
      </c>
      <c r="O15" s="5" t="n">
        <v>0</v>
      </c>
      <c r="P15" s="5" t="n">
        <v>0</v>
      </c>
      <c r="Q15" s="5" t="n">
        <v>0</v>
      </c>
      <c r="R15" s="5" t="n">
        <v>0</v>
      </c>
      <c r="S15" s="5" t="n">
        <v>1</v>
      </c>
      <c r="T15" s="5" t="n">
        <v>0</v>
      </c>
      <c r="U15" s="5" t="n">
        <v>1</v>
      </c>
      <c r="V15" s="5" t="n">
        <v>0</v>
      </c>
      <c r="W15" s="5" t="n">
        <v>0</v>
      </c>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s">
        <v>867</v>
      </c>
      <c r="D16" s="5" t="n">
        <v>1</v>
      </c>
      <c r="E16" s="5" t="n">
        <v>1</v>
      </c>
      <c r="F16" s="5" t="n">
        <v>1</v>
      </c>
      <c r="G16" s="5" t="n">
        <v>1</v>
      </c>
      <c r="H16" s="5" t="n">
        <v>0</v>
      </c>
      <c r="I16" s="5" t="n">
        <v>0</v>
      </c>
      <c r="J16" s="5" t="n">
        <v>0</v>
      </c>
      <c r="K16" s="5" t="n">
        <v>0</v>
      </c>
      <c r="L16" s="5" t="n">
        <v>0</v>
      </c>
      <c r="M16" s="5" t="n">
        <v>0</v>
      </c>
      <c r="N16" s="5" t="n">
        <v>0</v>
      </c>
      <c r="O16" s="5" t="n">
        <v>0</v>
      </c>
      <c r="P16" s="5" t="n">
        <v>0</v>
      </c>
      <c r="Q16" s="5" t="n">
        <v>0</v>
      </c>
      <c r="R16" s="5" t="n">
        <v>0</v>
      </c>
      <c r="S16" s="5" t="n">
        <v>0</v>
      </c>
      <c r="T16" s="5" t="n">
        <v>0</v>
      </c>
      <c r="U16" s="5" t="n">
        <v>0</v>
      </c>
      <c r="V16" s="5" t="n">
        <v>0</v>
      </c>
      <c r="W16" s="5" t="n">
        <v>0</v>
      </c>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35.05" hidden="false" customHeight="false" outlineLevel="0" collapsed="false">
      <c r="A17" s="5" t="n">
        <v>16</v>
      </c>
      <c r="B17" s="5" t="s">
        <v>869</v>
      </c>
      <c r="C17" s="5" t="s">
        <v>14</v>
      </c>
      <c r="D17" s="5" t="n">
        <v>1</v>
      </c>
      <c r="E17" s="5" t="n">
        <v>1</v>
      </c>
      <c r="F17" s="5" t="n">
        <v>1</v>
      </c>
      <c r="G17" s="5" t="n">
        <v>1</v>
      </c>
      <c r="H17" s="5" t="n">
        <v>0</v>
      </c>
      <c r="I17" s="5" t="n">
        <v>0</v>
      </c>
      <c r="J17" s="5" t="n">
        <v>0</v>
      </c>
      <c r="K17" s="5" t="n">
        <v>0</v>
      </c>
      <c r="L17" s="5" t="n">
        <v>0</v>
      </c>
      <c r="M17" s="5" t="n">
        <v>0</v>
      </c>
      <c r="N17" s="5" t="n">
        <v>1</v>
      </c>
      <c r="O17" s="5" t="n">
        <v>0</v>
      </c>
      <c r="P17" s="5" t="n">
        <v>0</v>
      </c>
      <c r="Q17" s="5" t="n">
        <v>0</v>
      </c>
      <c r="R17" s="5" t="n">
        <v>0</v>
      </c>
      <c r="S17" s="5" t="n">
        <v>1</v>
      </c>
      <c r="T17" s="5" t="n">
        <v>0</v>
      </c>
      <c r="U17" s="5" t="n">
        <v>0</v>
      </c>
      <c r="V17" s="5" t="n">
        <v>0</v>
      </c>
      <c r="W17" s="5" t="n">
        <v>0</v>
      </c>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s">
        <v>873</v>
      </c>
      <c r="D18" s="5" t="n">
        <v>1</v>
      </c>
      <c r="E18" s="5" t="n">
        <v>0</v>
      </c>
      <c r="F18" s="5" t="n">
        <v>1</v>
      </c>
      <c r="G18" s="5" t="n">
        <v>1</v>
      </c>
      <c r="H18" s="5" t="n">
        <v>0</v>
      </c>
      <c r="I18" s="5" t="n">
        <v>0</v>
      </c>
      <c r="J18" s="5" t="n">
        <v>0</v>
      </c>
      <c r="K18" s="5" t="n">
        <v>0</v>
      </c>
      <c r="L18" s="5" t="n">
        <v>0</v>
      </c>
      <c r="M18" s="5" t="n">
        <v>1</v>
      </c>
      <c r="N18" s="5" t="n">
        <v>1</v>
      </c>
      <c r="O18" s="5" t="n">
        <v>0</v>
      </c>
      <c r="P18" s="5" t="n">
        <v>0</v>
      </c>
      <c r="Q18" s="5" t="n">
        <v>0</v>
      </c>
      <c r="R18" s="5" t="n">
        <v>0</v>
      </c>
      <c r="S18" s="5" t="n">
        <v>0</v>
      </c>
      <c r="T18" s="5" t="n">
        <v>0</v>
      </c>
      <c r="U18" s="5" t="n">
        <v>0</v>
      </c>
      <c r="V18" s="5" t="n">
        <v>0</v>
      </c>
      <c r="W18" s="5" t="n">
        <v>0</v>
      </c>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s">
        <v>879</v>
      </c>
      <c r="D19" s="5" t="n">
        <v>1</v>
      </c>
      <c r="E19" s="5" t="n">
        <v>1</v>
      </c>
      <c r="F19" s="5" t="n">
        <v>1</v>
      </c>
      <c r="G19" s="5" t="n">
        <v>1</v>
      </c>
      <c r="H19" s="5" t="n">
        <v>0</v>
      </c>
      <c r="I19" s="5" t="n">
        <v>1</v>
      </c>
      <c r="J19" s="5" t="n">
        <v>0</v>
      </c>
      <c r="K19" s="5" t="n">
        <v>0</v>
      </c>
      <c r="L19" s="5" t="n">
        <v>0</v>
      </c>
      <c r="M19" s="5" t="n">
        <v>1</v>
      </c>
      <c r="N19" s="5" t="n">
        <v>0</v>
      </c>
      <c r="O19" s="5" t="n">
        <v>0</v>
      </c>
      <c r="P19" s="5" t="n">
        <v>0</v>
      </c>
      <c r="Q19" s="5" t="n">
        <v>1</v>
      </c>
      <c r="R19" s="5" t="n">
        <v>0</v>
      </c>
      <c r="S19" s="5" t="n">
        <v>1</v>
      </c>
      <c r="T19" s="5" t="n">
        <v>0</v>
      </c>
      <c r="U19" s="5" t="n">
        <v>0</v>
      </c>
      <c r="V19" s="5" t="n">
        <v>0</v>
      </c>
      <c r="W19" s="5" t="n">
        <v>0</v>
      </c>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35.05" hidden="false" customHeight="false" outlineLevel="0" collapsed="false">
      <c r="A20" s="5" t="n">
        <v>19</v>
      </c>
      <c r="B20" s="5" t="s">
        <v>882</v>
      </c>
      <c r="C20" s="5" t="s">
        <v>883</v>
      </c>
      <c r="D20" s="5" t="n">
        <v>1</v>
      </c>
      <c r="E20" s="5" t="n">
        <v>1</v>
      </c>
      <c r="F20" s="5" t="n">
        <v>1</v>
      </c>
      <c r="G20" s="5" t="n">
        <v>1</v>
      </c>
      <c r="H20" s="5" t="n">
        <v>0</v>
      </c>
      <c r="I20" s="5" t="n">
        <v>0</v>
      </c>
      <c r="J20" s="5" t="n">
        <v>1</v>
      </c>
      <c r="K20" s="5" t="n">
        <v>1</v>
      </c>
      <c r="L20" s="5" t="n">
        <v>0</v>
      </c>
      <c r="M20" s="5" t="n">
        <v>0</v>
      </c>
      <c r="N20" s="5" t="n">
        <v>0</v>
      </c>
      <c r="O20" s="5" t="n">
        <v>0</v>
      </c>
      <c r="P20" s="5" t="n">
        <v>0</v>
      </c>
      <c r="Q20" s="5" t="n">
        <v>0</v>
      </c>
      <c r="R20" s="5" t="n">
        <v>0</v>
      </c>
      <c r="S20" s="5" t="n">
        <v>0</v>
      </c>
      <c r="T20" s="5" t="n">
        <v>0</v>
      </c>
      <c r="U20" s="5" t="n">
        <v>0</v>
      </c>
      <c r="V20" s="5" t="n">
        <v>1</v>
      </c>
      <c r="W20" s="5" t="n">
        <v>0</v>
      </c>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s">
        <v>886</v>
      </c>
      <c r="D21" s="5" t="n">
        <v>1</v>
      </c>
      <c r="E21" s="5" t="n">
        <v>1</v>
      </c>
      <c r="F21" s="5" t="n">
        <v>1</v>
      </c>
      <c r="G21" s="5" t="n">
        <v>1</v>
      </c>
      <c r="H21" s="5" t="n">
        <v>0</v>
      </c>
      <c r="I21" s="5" t="n">
        <v>0</v>
      </c>
      <c r="J21" s="5" t="n">
        <v>1</v>
      </c>
      <c r="K21" s="5" t="n">
        <v>1</v>
      </c>
      <c r="L21" s="5" t="n">
        <v>1</v>
      </c>
      <c r="M21" s="5" t="n">
        <v>1</v>
      </c>
      <c r="N21" s="5" t="n">
        <v>0</v>
      </c>
      <c r="O21" s="5" t="n">
        <v>0</v>
      </c>
      <c r="P21" s="5" t="n">
        <v>1</v>
      </c>
      <c r="Q21" s="5" t="n">
        <v>0</v>
      </c>
      <c r="R21" s="5" t="n">
        <v>0</v>
      </c>
      <c r="S21" s="5" t="n">
        <v>0</v>
      </c>
      <c r="T21" s="5" t="n">
        <v>0</v>
      </c>
      <c r="U21" s="5" t="n">
        <v>0</v>
      </c>
      <c r="V21" s="5" t="n">
        <v>0</v>
      </c>
      <c r="W21" s="5" t="n">
        <v>0</v>
      </c>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23.85" hidden="false" customHeight="false" outlineLevel="0" collapsed="false">
      <c r="A22" s="5" t="n">
        <v>21</v>
      </c>
      <c r="B22" s="5" t="s">
        <v>102</v>
      </c>
      <c r="C22" s="5" t="s">
        <v>888</v>
      </c>
      <c r="D22" s="5" t="n">
        <v>1</v>
      </c>
      <c r="E22" s="5" t="n">
        <v>1</v>
      </c>
      <c r="F22" s="5" t="n">
        <v>1</v>
      </c>
      <c r="G22" s="5" t="n">
        <v>1</v>
      </c>
      <c r="H22" s="5" t="n">
        <v>0</v>
      </c>
      <c r="I22" s="5" t="n">
        <v>0</v>
      </c>
      <c r="J22" s="5" t="n">
        <v>0</v>
      </c>
      <c r="K22" s="5" t="n">
        <v>0</v>
      </c>
      <c r="L22" s="5" t="n">
        <v>0</v>
      </c>
      <c r="M22" s="5" t="n">
        <v>1</v>
      </c>
      <c r="N22" s="5" t="n">
        <v>0</v>
      </c>
      <c r="O22" s="5" t="n">
        <v>0</v>
      </c>
      <c r="P22" s="5" t="n">
        <v>1</v>
      </c>
      <c r="Q22" s="5" t="n">
        <v>0</v>
      </c>
      <c r="R22" s="5" t="n">
        <v>0</v>
      </c>
      <c r="S22" s="5" t="n">
        <v>1</v>
      </c>
      <c r="T22" s="5" t="n">
        <v>0</v>
      </c>
      <c r="U22" s="5" t="n">
        <v>0</v>
      </c>
      <c r="V22" s="5" t="n">
        <v>0</v>
      </c>
      <c r="W22" s="5" t="n">
        <v>0</v>
      </c>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35.05" hidden="false" customHeight="false" outlineLevel="0" collapsed="false">
      <c r="A23" s="5" t="n">
        <v>22</v>
      </c>
      <c r="B23" s="5" t="s">
        <v>892</v>
      </c>
      <c r="C23" s="5" t="s">
        <v>893</v>
      </c>
      <c r="D23" s="5" t="n">
        <v>1</v>
      </c>
      <c r="E23" s="5" t="n">
        <v>1</v>
      </c>
      <c r="F23" s="5" t="n">
        <v>1</v>
      </c>
      <c r="G23" s="5" t="n">
        <v>1</v>
      </c>
      <c r="H23" s="5" t="n">
        <v>0</v>
      </c>
      <c r="I23" s="5" t="n">
        <v>0</v>
      </c>
      <c r="J23" s="5" t="n">
        <v>0</v>
      </c>
      <c r="K23" s="5" t="n">
        <v>0</v>
      </c>
      <c r="L23" s="5" t="n">
        <v>0</v>
      </c>
      <c r="M23" s="5" t="n">
        <v>1</v>
      </c>
      <c r="N23" s="5" t="n">
        <v>0</v>
      </c>
      <c r="O23" s="5" t="n">
        <v>0</v>
      </c>
      <c r="P23" s="5" t="n">
        <v>0</v>
      </c>
      <c r="Q23" s="5" t="n">
        <v>0</v>
      </c>
      <c r="R23" s="5" t="n">
        <v>0</v>
      </c>
      <c r="S23" s="5" t="n">
        <v>1</v>
      </c>
      <c r="T23" s="5" t="n">
        <v>0</v>
      </c>
      <c r="U23" s="5" t="n">
        <v>0</v>
      </c>
      <c r="V23" s="5" t="n">
        <v>0</v>
      </c>
      <c r="W23" s="5" t="n">
        <v>0</v>
      </c>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s">
        <v>897</v>
      </c>
      <c r="D24" s="5" t="n">
        <v>1</v>
      </c>
      <c r="E24" s="5" t="n">
        <v>1</v>
      </c>
      <c r="F24" s="5" t="n">
        <v>1</v>
      </c>
      <c r="G24" s="5" t="n">
        <v>1</v>
      </c>
      <c r="H24" s="5" t="n">
        <v>0</v>
      </c>
      <c r="I24" s="5" t="n">
        <v>0</v>
      </c>
      <c r="J24" s="5" t="n">
        <v>0</v>
      </c>
      <c r="K24" s="5" t="n">
        <v>0</v>
      </c>
      <c r="L24" s="5" t="n">
        <v>0</v>
      </c>
      <c r="M24" s="5" t="n">
        <v>1</v>
      </c>
      <c r="N24" s="5" t="n">
        <v>1</v>
      </c>
      <c r="O24" s="5" t="n">
        <v>0</v>
      </c>
      <c r="P24" s="5" t="n">
        <v>0</v>
      </c>
      <c r="Q24" s="5" t="n">
        <v>0</v>
      </c>
      <c r="R24" s="5" t="n">
        <v>0</v>
      </c>
      <c r="S24" s="5" t="n">
        <v>0</v>
      </c>
      <c r="T24" s="5" t="n">
        <v>0</v>
      </c>
      <c r="U24" s="5" t="n">
        <v>0</v>
      </c>
      <c r="V24" s="5" t="n">
        <v>0</v>
      </c>
      <c r="W24" s="5" t="n">
        <v>0</v>
      </c>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s">
        <v>900</v>
      </c>
      <c r="D25" s="5" t="n">
        <v>1</v>
      </c>
      <c r="E25" s="5" t="n">
        <v>1</v>
      </c>
      <c r="F25" s="5" t="n">
        <v>1</v>
      </c>
      <c r="G25" s="5" t="n">
        <v>1</v>
      </c>
      <c r="H25" s="5" t="n">
        <v>0</v>
      </c>
      <c r="I25" s="5" t="n">
        <v>0</v>
      </c>
      <c r="J25" s="5" t="n">
        <v>0</v>
      </c>
      <c r="K25" s="5" t="n">
        <v>0</v>
      </c>
      <c r="L25" s="5" t="n">
        <v>0</v>
      </c>
      <c r="M25" s="5" t="n">
        <v>1</v>
      </c>
      <c r="N25" s="5" t="n">
        <v>1</v>
      </c>
      <c r="O25" s="5" t="n">
        <v>0</v>
      </c>
      <c r="P25" s="5" t="n">
        <v>0</v>
      </c>
      <c r="Q25" s="5" t="n">
        <v>0</v>
      </c>
      <c r="R25" s="5" t="n">
        <v>0</v>
      </c>
      <c r="S25" s="5" t="n">
        <v>0</v>
      </c>
      <c r="T25" s="5" t="n">
        <v>0</v>
      </c>
      <c r="U25" s="5" t="n">
        <v>0</v>
      </c>
      <c r="V25" s="5" t="n">
        <v>0</v>
      </c>
      <c r="W25" s="5" t="n">
        <v>0</v>
      </c>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35.05" hidden="false" customHeight="false" outlineLevel="0" collapsed="false">
      <c r="A26" s="5" t="n">
        <v>25</v>
      </c>
      <c r="B26" s="5" t="s">
        <v>902</v>
      </c>
      <c r="C26" s="5" t="s">
        <v>903</v>
      </c>
      <c r="D26" s="5" t="n">
        <v>1</v>
      </c>
      <c r="E26" s="5" t="n">
        <v>1</v>
      </c>
      <c r="F26" s="5" t="n">
        <v>1</v>
      </c>
      <c r="G26" s="5" t="n">
        <v>1</v>
      </c>
      <c r="H26" s="5" t="n">
        <v>0</v>
      </c>
      <c r="I26" s="5" t="n">
        <v>0</v>
      </c>
      <c r="J26" s="5" t="n">
        <v>0</v>
      </c>
      <c r="K26" s="5" t="n">
        <v>0</v>
      </c>
      <c r="L26" s="5" t="n">
        <v>0</v>
      </c>
      <c r="M26" s="5" t="n">
        <v>1</v>
      </c>
      <c r="N26" s="5" t="n">
        <v>0</v>
      </c>
      <c r="O26" s="5" t="n">
        <v>0</v>
      </c>
      <c r="P26" s="5" t="n">
        <v>0</v>
      </c>
      <c r="Q26" s="5" t="n">
        <v>0</v>
      </c>
      <c r="R26" s="5" t="n">
        <v>0</v>
      </c>
      <c r="S26" s="5" t="n">
        <v>1</v>
      </c>
      <c r="T26" s="5" t="n">
        <v>0</v>
      </c>
      <c r="U26" s="5" t="n">
        <v>0</v>
      </c>
      <c r="V26" s="5" t="n">
        <v>0</v>
      </c>
      <c r="W26" s="5" t="n">
        <v>0</v>
      </c>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35.05" hidden="false" customHeight="false" outlineLevel="0" collapsed="false">
      <c r="A27" s="5" t="n">
        <v>26</v>
      </c>
      <c r="B27" s="5" t="s">
        <v>906</v>
      </c>
      <c r="C27" s="5" t="s">
        <v>907</v>
      </c>
      <c r="D27" s="5" t="n">
        <v>1</v>
      </c>
      <c r="E27" s="5" t="n">
        <v>1</v>
      </c>
      <c r="F27" s="5" t="n">
        <v>1</v>
      </c>
      <c r="G27" s="5" t="n">
        <v>1</v>
      </c>
      <c r="H27" s="5" t="n">
        <v>0</v>
      </c>
      <c r="I27" s="5" t="n">
        <v>0</v>
      </c>
      <c r="J27" s="5" t="n">
        <v>0</v>
      </c>
      <c r="K27" s="5" t="n">
        <v>0</v>
      </c>
      <c r="L27" s="5" t="n">
        <v>0</v>
      </c>
      <c r="M27" s="5" t="n">
        <v>0</v>
      </c>
      <c r="N27" s="5" t="n">
        <v>0</v>
      </c>
      <c r="O27" s="5" t="n">
        <v>0</v>
      </c>
      <c r="P27" s="5" t="n">
        <v>0</v>
      </c>
      <c r="Q27" s="5" t="n">
        <v>0</v>
      </c>
      <c r="R27" s="5" t="n">
        <v>1</v>
      </c>
      <c r="S27" s="5" t="n">
        <v>0</v>
      </c>
      <c r="T27" s="5" t="n">
        <v>0</v>
      </c>
      <c r="U27" s="5" t="n">
        <v>0</v>
      </c>
      <c r="V27" s="5" t="n">
        <v>0</v>
      </c>
      <c r="W27" s="5" t="n">
        <v>1</v>
      </c>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35.05" hidden="false" customHeight="false" outlineLevel="0" collapsed="false">
      <c r="A28" s="5" t="n">
        <v>27</v>
      </c>
      <c r="B28" s="5" t="s">
        <v>115</v>
      </c>
      <c r="C28" s="5" t="s">
        <v>910</v>
      </c>
      <c r="D28" s="5" t="n">
        <v>1</v>
      </c>
      <c r="E28" s="5" t="n">
        <v>0</v>
      </c>
      <c r="F28" s="5" t="n">
        <v>1</v>
      </c>
      <c r="G28" s="5" t="n">
        <v>1</v>
      </c>
      <c r="H28" s="5" t="n">
        <v>0</v>
      </c>
      <c r="I28" s="5" t="n">
        <v>0</v>
      </c>
      <c r="J28" s="5" t="n">
        <v>0</v>
      </c>
      <c r="K28" s="5" t="n">
        <v>0</v>
      </c>
      <c r="L28" s="5" t="n">
        <v>0</v>
      </c>
      <c r="M28" s="5" t="n">
        <v>1</v>
      </c>
      <c r="N28" s="5" t="n">
        <v>0</v>
      </c>
      <c r="O28" s="5" t="n">
        <v>0</v>
      </c>
      <c r="P28" s="5" t="n">
        <v>0</v>
      </c>
      <c r="Q28" s="5" t="n">
        <v>0</v>
      </c>
      <c r="R28" s="5" t="n">
        <v>0</v>
      </c>
      <c r="S28" s="5" t="n">
        <v>1</v>
      </c>
      <c r="T28" s="5" t="n">
        <v>0</v>
      </c>
      <c r="U28" s="5" t="n">
        <v>0</v>
      </c>
      <c r="V28" s="5" t="n">
        <v>0</v>
      </c>
      <c r="W28" s="5" t="n">
        <v>0</v>
      </c>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35.05" hidden="false" customHeight="false" outlineLevel="0" collapsed="false">
      <c r="A29" s="5" t="n">
        <v>28</v>
      </c>
      <c r="B29" s="5" t="s">
        <v>914</v>
      </c>
      <c r="C29" s="5" t="s">
        <v>915</v>
      </c>
      <c r="D29" s="5" t="n">
        <v>1</v>
      </c>
      <c r="E29" s="5" t="n">
        <v>1</v>
      </c>
      <c r="F29" s="5" t="n">
        <v>1</v>
      </c>
      <c r="G29" s="5" t="n">
        <v>1</v>
      </c>
      <c r="H29" s="5" t="n">
        <v>0</v>
      </c>
      <c r="I29" s="5" t="n">
        <v>0</v>
      </c>
      <c r="J29" s="5" t="n">
        <v>0</v>
      </c>
      <c r="K29" s="5" t="n">
        <v>0</v>
      </c>
      <c r="L29" s="5" t="n">
        <v>0</v>
      </c>
      <c r="M29" s="5" t="n">
        <v>1</v>
      </c>
      <c r="N29" s="5" t="n">
        <v>0</v>
      </c>
      <c r="O29" s="5" t="n">
        <v>0</v>
      </c>
      <c r="P29" s="5" t="n">
        <v>1</v>
      </c>
      <c r="Q29" s="5" t="n">
        <v>0</v>
      </c>
      <c r="R29" s="5" t="n">
        <v>0</v>
      </c>
      <c r="S29" s="5" t="n">
        <v>1</v>
      </c>
      <c r="T29" s="5" t="n">
        <v>1</v>
      </c>
      <c r="U29" s="5" t="n">
        <v>0</v>
      </c>
      <c r="V29" s="5" t="n">
        <v>0</v>
      </c>
      <c r="W29" s="5" t="n">
        <v>0</v>
      </c>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s">
        <v>919</v>
      </c>
      <c r="D30" s="5" t="n">
        <v>1</v>
      </c>
      <c r="E30" s="5" t="n">
        <v>1</v>
      </c>
      <c r="F30" s="5" t="n">
        <v>1</v>
      </c>
      <c r="G30" s="5" t="n">
        <v>1</v>
      </c>
      <c r="H30" s="5" t="n">
        <v>0</v>
      </c>
      <c r="I30" s="5" t="n">
        <v>0</v>
      </c>
      <c r="J30" s="5" t="n">
        <v>0</v>
      </c>
      <c r="K30" s="5" t="n">
        <v>0</v>
      </c>
      <c r="L30" s="5" t="n">
        <v>0</v>
      </c>
      <c r="M30" s="5" t="n">
        <v>1</v>
      </c>
      <c r="N30" s="5" t="n">
        <v>0</v>
      </c>
      <c r="O30" s="5" t="n">
        <v>0</v>
      </c>
      <c r="P30" s="5" t="n">
        <v>0</v>
      </c>
      <c r="Q30" s="5" t="n">
        <v>0</v>
      </c>
      <c r="R30" s="5" t="n">
        <v>0</v>
      </c>
      <c r="S30" s="5" t="n">
        <v>1</v>
      </c>
      <c r="T30" s="5" t="n">
        <v>0</v>
      </c>
      <c r="U30" s="5" t="n">
        <v>0</v>
      </c>
      <c r="V30" s="5" t="n">
        <v>0</v>
      </c>
      <c r="W30" s="5" t="n">
        <v>0</v>
      </c>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s">
        <v>922</v>
      </c>
      <c r="D31" s="5" t="n">
        <v>1</v>
      </c>
      <c r="E31" s="5" t="n">
        <v>1</v>
      </c>
      <c r="F31" s="5" t="n">
        <v>1</v>
      </c>
      <c r="G31" s="5" t="n">
        <v>1</v>
      </c>
      <c r="H31" s="5" t="n">
        <v>0</v>
      </c>
      <c r="I31" s="5" t="n">
        <v>0</v>
      </c>
      <c r="J31" s="5" t="n">
        <v>0</v>
      </c>
      <c r="K31" s="5" t="n">
        <v>0</v>
      </c>
      <c r="L31" s="5" t="n">
        <v>0</v>
      </c>
      <c r="M31" s="5" t="n">
        <v>1</v>
      </c>
      <c r="N31" s="5" t="n">
        <v>0</v>
      </c>
      <c r="O31" s="5" t="n">
        <v>0</v>
      </c>
      <c r="P31" s="5" t="n">
        <v>0</v>
      </c>
      <c r="Q31" s="5" t="n">
        <v>0</v>
      </c>
      <c r="R31" s="5" t="n">
        <v>0</v>
      </c>
      <c r="S31" s="5" t="n">
        <v>1</v>
      </c>
      <c r="T31" s="5" t="n">
        <v>0</v>
      </c>
      <c r="U31" s="5" t="n">
        <v>0</v>
      </c>
      <c r="V31" s="5" t="n">
        <v>0</v>
      </c>
      <c r="W31" s="5" t="n">
        <v>0</v>
      </c>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s">
        <v>925</v>
      </c>
      <c r="D32" s="5" t="n">
        <v>1</v>
      </c>
      <c r="E32" s="5" t="n">
        <v>1</v>
      </c>
      <c r="F32" s="5" t="n">
        <v>1</v>
      </c>
      <c r="G32" s="5" t="n">
        <v>1</v>
      </c>
      <c r="H32" s="5" t="n">
        <v>0</v>
      </c>
      <c r="I32" s="5" t="n">
        <v>0</v>
      </c>
      <c r="J32" s="5" t="n">
        <v>0</v>
      </c>
      <c r="K32" s="5" t="n">
        <v>0</v>
      </c>
      <c r="L32" s="5" t="n">
        <v>0</v>
      </c>
      <c r="M32" s="5" t="n">
        <v>0</v>
      </c>
      <c r="N32" s="5" t="n">
        <v>0</v>
      </c>
      <c r="O32" s="5" t="n">
        <v>0</v>
      </c>
      <c r="P32" s="5" t="n">
        <v>0</v>
      </c>
      <c r="Q32" s="5" t="n">
        <v>0</v>
      </c>
      <c r="R32" s="5" t="n">
        <v>1</v>
      </c>
      <c r="S32" s="5" t="n">
        <v>1</v>
      </c>
      <c r="T32" s="5" t="n">
        <v>0</v>
      </c>
      <c r="U32" s="5" t="n">
        <v>0</v>
      </c>
      <c r="V32" s="5" t="n">
        <v>0</v>
      </c>
      <c r="W32" s="5" t="n">
        <v>0</v>
      </c>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35.05" hidden="false" customHeight="false" outlineLevel="0" collapsed="false">
      <c r="A33" s="5" t="n">
        <v>32</v>
      </c>
      <c r="B33" s="5" t="s">
        <v>928</v>
      </c>
      <c r="C33" s="5" t="s">
        <v>929</v>
      </c>
      <c r="D33" s="5" t="n">
        <v>1</v>
      </c>
      <c r="E33" s="5" t="n">
        <v>1</v>
      </c>
      <c r="F33" s="5" t="n">
        <v>1</v>
      </c>
      <c r="G33" s="5" t="n">
        <v>1</v>
      </c>
      <c r="H33" s="5" t="n">
        <v>0</v>
      </c>
      <c r="I33" s="5" t="n">
        <v>0</v>
      </c>
      <c r="J33" s="5" t="n">
        <v>0</v>
      </c>
      <c r="K33" s="5" t="n">
        <v>0</v>
      </c>
      <c r="L33" s="5" t="n">
        <v>0</v>
      </c>
      <c r="M33" s="5" t="n">
        <v>0</v>
      </c>
      <c r="N33" s="5" t="n">
        <v>0</v>
      </c>
      <c r="O33" s="5" t="n">
        <v>0</v>
      </c>
      <c r="P33" s="5" t="n">
        <v>1</v>
      </c>
      <c r="Q33" s="5" t="n">
        <v>0</v>
      </c>
      <c r="R33" s="5" t="n">
        <v>1</v>
      </c>
      <c r="S33" s="5" t="n">
        <v>1</v>
      </c>
      <c r="T33" s="5" t="n">
        <v>0</v>
      </c>
      <c r="U33" s="5" t="n">
        <v>0</v>
      </c>
      <c r="V33" s="5" t="n">
        <v>0</v>
      </c>
      <c r="W33" s="5" t="n">
        <v>0</v>
      </c>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s">
        <v>933</v>
      </c>
      <c r="D34" s="5" t="n">
        <v>1</v>
      </c>
      <c r="E34" s="5" t="n">
        <v>1</v>
      </c>
      <c r="F34" s="5" t="n">
        <v>1</v>
      </c>
      <c r="G34" s="5" t="n">
        <v>1</v>
      </c>
      <c r="H34" s="5" t="n">
        <v>0</v>
      </c>
      <c r="I34" s="5" t="n">
        <v>0</v>
      </c>
      <c r="J34" s="5" t="n">
        <v>0</v>
      </c>
      <c r="K34" s="5" t="n">
        <v>0</v>
      </c>
      <c r="L34" s="5" t="n">
        <v>0</v>
      </c>
      <c r="M34" s="5" t="n">
        <v>0</v>
      </c>
      <c r="N34" s="5" t="n">
        <v>1</v>
      </c>
      <c r="O34" s="5" t="n">
        <v>0</v>
      </c>
      <c r="P34" s="5" t="n">
        <v>0</v>
      </c>
      <c r="Q34" s="5" t="n">
        <v>0</v>
      </c>
      <c r="R34" s="5" t="n">
        <v>0</v>
      </c>
      <c r="S34" s="5" t="n">
        <v>0</v>
      </c>
      <c r="T34" s="5" t="n">
        <v>0</v>
      </c>
      <c r="U34" s="5" t="n">
        <v>0</v>
      </c>
      <c r="V34" s="5" t="n">
        <v>0</v>
      </c>
      <c r="W34" s="5" t="n">
        <v>0</v>
      </c>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s">
        <v>936</v>
      </c>
      <c r="D35" s="5" t="n">
        <v>1</v>
      </c>
      <c r="E35" s="5" t="n">
        <v>1</v>
      </c>
      <c r="F35" s="5" t="n">
        <v>1</v>
      </c>
      <c r="G35" s="5" t="n">
        <v>1</v>
      </c>
      <c r="H35" s="5" t="n">
        <v>0</v>
      </c>
      <c r="I35" s="5" t="n">
        <v>0</v>
      </c>
      <c r="J35" s="5" t="n">
        <v>0</v>
      </c>
      <c r="K35" s="5" t="n">
        <v>0</v>
      </c>
      <c r="L35" s="5" t="n">
        <v>0</v>
      </c>
      <c r="M35" s="5" t="n">
        <v>1</v>
      </c>
      <c r="N35" s="5" t="n">
        <v>0</v>
      </c>
      <c r="O35" s="5" t="n">
        <v>0</v>
      </c>
      <c r="P35" s="5" t="n">
        <v>0</v>
      </c>
      <c r="Q35" s="5" t="n">
        <v>0</v>
      </c>
      <c r="R35" s="5" t="n">
        <v>0</v>
      </c>
      <c r="S35" s="5" t="n">
        <v>1</v>
      </c>
      <c r="T35" s="5" t="n">
        <v>0</v>
      </c>
      <c r="U35" s="5" t="n">
        <v>0</v>
      </c>
      <c r="V35" s="5" t="n">
        <v>0</v>
      </c>
      <c r="W35" s="5" t="n">
        <v>0</v>
      </c>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23.85" hidden="false" customHeight="false" outlineLevel="0" collapsed="false">
      <c r="A36" s="5" t="n">
        <v>35</v>
      </c>
      <c r="B36" s="5" t="s">
        <v>132</v>
      </c>
      <c r="C36" s="5" t="s">
        <v>16</v>
      </c>
      <c r="D36" s="5" t="n">
        <v>1</v>
      </c>
      <c r="E36" s="5" t="n">
        <v>1</v>
      </c>
      <c r="F36" s="5" t="n">
        <v>1</v>
      </c>
      <c r="G36" s="5" t="n">
        <v>1</v>
      </c>
      <c r="H36" s="5" t="n">
        <v>0</v>
      </c>
      <c r="I36" s="5" t="n">
        <v>0</v>
      </c>
      <c r="J36" s="5" t="n">
        <v>0</v>
      </c>
      <c r="K36" s="5" t="n">
        <v>0</v>
      </c>
      <c r="L36" s="5" t="n">
        <v>0</v>
      </c>
      <c r="M36" s="5" t="n">
        <v>0</v>
      </c>
      <c r="N36" s="5" t="n">
        <v>1</v>
      </c>
      <c r="O36" s="5" t="n">
        <v>0</v>
      </c>
      <c r="P36" s="5" t="n">
        <v>0</v>
      </c>
      <c r="Q36" s="5" t="n">
        <v>0</v>
      </c>
      <c r="R36" s="5" t="n">
        <v>0</v>
      </c>
      <c r="S36" s="5" t="n">
        <v>1</v>
      </c>
      <c r="T36" s="5" t="n">
        <v>0</v>
      </c>
      <c r="U36" s="5" t="n">
        <v>0</v>
      </c>
      <c r="V36" s="5" t="n">
        <v>0</v>
      </c>
      <c r="W36" s="5" t="n">
        <v>0</v>
      </c>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35.05" hidden="false" customHeight="false" outlineLevel="0" collapsed="false">
      <c r="A37" s="5" t="n">
        <v>36</v>
      </c>
      <c r="B37" s="5" t="s">
        <v>134</v>
      </c>
      <c r="C37" s="5" t="s">
        <v>941</v>
      </c>
      <c r="D37" s="5" t="n">
        <v>1</v>
      </c>
      <c r="E37" s="5" t="n">
        <v>1</v>
      </c>
      <c r="F37" s="5" t="n">
        <v>1</v>
      </c>
      <c r="G37" s="5" t="n">
        <v>1</v>
      </c>
      <c r="H37" s="5" t="n">
        <v>0</v>
      </c>
      <c r="I37" s="5" t="n">
        <v>0</v>
      </c>
      <c r="J37" s="5" t="n">
        <v>0</v>
      </c>
      <c r="K37" s="5" t="n">
        <v>0</v>
      </c>
      <c r="L37" s="5" t="n">
        <v>0</v>
      </c>
      <c r="M37" s="5" t="n">
        <v>1</v>
      </c>
      <c r="N37" s="5" t="n">
        <v>0</v>
      </c>
      <c r="O37" s="5" t="n">
        <v>0</v>
      </c>
      <c r="P37" s="5" t="n">
        <v>1</v>
      </c>
      <c r="Q37" s="5" t="n">
        <v>0</v>
      </c>
      <c r="R37" s="5" t="n">
        <v>0</v>
      </c>
      <c r="S37" s="5" t="n">
        <v>1</v>
      </c>
      <c r="T37" s="5" t="n">
        <v>0</v>
      </c>
      <c r="U37" s="5" t="n">
        <v>0</v>
      </c>
      <c r="V37" s="5" t="n">
        <v>0</v>
      </c>
      <c r="W37" s="5" t="n">
        <v>0</v>
      </c>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s">
        <v>945</v>
      </c>
      <c r="D38" s="5" t="n">
        <v>1</v>
      </c>
      <c r="E38" s="5" t="n">
        <v>1</v>
      </c>
      <c r="F38" s="5" t="n">
        <v>1</v>
      </c>
      <c r="G38" s="5" t="n">
        <v>1</v>
      </c>
      <c r="H38" s="5" t="n">
        <v>1</v>
      </c>
      <c r="I38" s="5" t="n">
        <v>0</v>
      </c>
      <c r="J38" s="5" t="n">
        <v>0</v>
      </c>
      <c r="K38" s="5" t="n">
        <v>0</v>
      </c>
      <c r="L38" s="5" t="n">
        <v>0</v>
      </c>
      <c r="M38" s="5" t="n">
        <v>1</v>
      </c>
      <c r="N38" s="5" t="n">
        <v>0</v>
      </c>
      <c r="O38" s="5" t="n">
        <v>0</v>
      </c>
      <c r="P38" s="5" t="n">
        <v>1</v>
      </c>
      <c r="Q38" s="5" t="n">
        <v>0</v>
      </c>
      <c r="R38" s="5" t="n">
        <v>0</v>
      </c>
      <c r="S38" s="5" t="n">
        <v>1</v>
      </c>
      <c r="T38" s="5" t="n">
        <v>0</v>
      </c>
      <c r="U38" s="5" t="n">
        <v>0</v>
      </c>
      <c r="V38" s="5" t="n">
        <v>0</v>
      </c>
      <c r="W38" s="5" t="n">
        <v>0</v>
      </c>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s">
        <v>933</v>
      </c>
      <c r="D39" s="5" t="n">
        <v>1</v>
      </c>
      <c r="E39" s="5" t="n">
        <v>1</v>
      </c>
      <c r="F39" s="5" t="n">
        <v>1</v>
      </c>
      <c r="G39" s="5" t="n">
        <v>1</v>
      </c>
      <c r="H39" s="5" t="n">
        <v>0</v>
      </c>
      <c r="I39" s="5" t="n">
        <v>0</v>
      </c>
      <c r="J39" s="5" t="n">
        <v>0</v>
      </c>
      <c r="K39" s="5" t="n">
        <v>0</v>
      </c>
      <c r="L39" s="5" t="n">
        <v>0</v>
      </c>
      <c r="M39" s="5" t="n">
        <v>0</v>
      </c>
      <c r="N39" s="5" t="n">
        <v>1</v>
      </c>
      <c r="O39" s="5" t="n">
        <v>0</v>
      </c>
      <c r="P39" s="5" t="n">
        <v>0</v>
      </c>
      <c r="Q39" s="5" t="n">
        <v>0</v>
      </c>
      <c r="R39" s="5" t="n">
        <v>0</v>
      </c>
      <c r="S39" s="5" t="n">
        <v>0</v>
      </c>
      <c r="T39" s="5" t="n">
        <v>0</v>
      </c>
      <c r="U39" s="5" t="n">
        <v>0</v>
      </c>
      <c r="V39" s="5" t="n">
        <v>0</v>
      </c>
      <c r="W39" s="5" t="n">
        <v>0</v>
      </c>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s">
        <v>950</v>
      </c>
      <c r="D40" s="5" t="n">
        <v>1</v>
      </c>
      <c r="E40" s="5" t="n">
        <v>1</v>
      </c>
      <c r="F40" s="5" t="n">
        <v>1</v>
      </c>
      <c r="G40" s="5" t="n">
        <v>1</v>
      </c>
      <c r="H40" s="5" t="n">
        <v>0</v>
      </c>
      <c r="I40" s="5" t="n">
        <v>0</v>
      </c>
      <c r="J40" s="5" t="n">
        <v>0</v>
      </c>
      <c r="K40" s="5" t="n">
        <v>0</v>
      </c>
      <c r="L40" s="5" t="n">
        <v>0</v>
      </c>
      <c r="M40" s="5" t="n">
        <v>0</v>
      </c>
      <c r="N40" s="5" t="n">
        <v>0</v>
      </c>
      <c r="O40" s="5" t="n">
        <v>0</v>
      </c>
      <c r="P40" s="5" t="n">
        <v>0</v>
      </c>
      <c r="Q40" s="5" t="n">
        <v>0</v>
      </c>
      <c r="R40" s="5" t="n">
        <v>1</v>
      </c>
      <c r="S40" s="5" t="n">
        <v>0</v>
      </c>
      <c r="T40" s="5" t="n">
        <v>0</v>
      </c>
      <c r="U40" s="5" t="n">
        <v>0</v>
      </c>
      <c r="V40" s="5" t="n">
        <v>1</v>
      </c>
      <c r="W40" s="5" t="n">
        <v>1</v>
      </c>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35.05" hidden="false" customHeight="false" outlineLevel="0" collapsed="false">
      <c r="A41" s="5" t="n">
        <v>40</v>
      </c>
      <c r="B41" s="5" t="s">
        <v>952</v>
      </c>
      <c r="C41" s="5" t="s">
        <v>953</v>
      </c>
      <c r="D41" s="5" t="n">
        <v>1</v>
      </c>
      <c r="E41" s="5" t="n">
        <v>1</v>
      </c>
      <c r="F41" s="5" t="n">
        <v>1</v>
      </c>
      <c r="G41" s="5" t="n">
        <v>1</v>
      </c>
      <c r="H41" s="5" t="n">
        <v>0</v>
      </c>
      <c r="I41" s="5" t="n">
        <v>0</v>
      </c>
      <c r="J41" s="5" t="n">
        <v>0</v>
      </c>
      <c r="K41" s="5" t="n">
        <v>0</v>
      </c>
      <c r="L41" s="5" t="n">
        <v>0</v>
      </c>
      <c r="M41" s="5" t="n">
        <v>0</v>
      </c>
      <c r="N41" s="5" t="n">
        <v>0</v>
      </c>
      <c r="O41" s="5" t="n">
        <v>0</v>
      </c>
      <c r="P41" s="5" t="n">
        <v>0</v>
      </c>
      <c r="Q41" s="5" t="n">
        <v>0</v>
      </c>
      <c r="R41" s="5" t="n">
        <v>1</v>
      </c>
      <c r="S41" s="5" t="n">
        <v>0</v>
      </c>
      <c r="T41" s="5" t="n">
        <v>0</v>
      </c>
      <c r="U41" s="5" t="n">
        <v>0</v>
      </c>
      <c r="V41" s="5" t="n">
        <v>1</v>
      </c>
      <c r="W41" s="5" t="n">
        <v>0</v>
      </c>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s">
        <v>957</v>
      </c>
      <c r="D42" s="5" t="n">
        <v>1</v>
      </c>
      <c r="E42" s="5" t="n">
        <v>1</v>
      </c>
      <c r="F42" s="5" t="n">
        <v>1</v>
      </c>
      <c r="G42" s="5" t="n">
        <v>1</v>
      </c>
      <c r="H42" s="5" t="n">
        <v>0</v>
      </c>
      <c r="I42" s="5" t="n">
        <v>0</v>
      </c>
      <c r="J42" s="5" t="n">
        <v>0</v>
      </c>
      <c r="K42" s="5" t="n">
        <v>0</v>
      </c>
      <c r="L42" s="5" t="n">
        <v>0</v>
      </c>
      <c r="M42" s="5" t="n">
        <v>0</v>
      </c>
      <c r="N42" s="5" t="n">
        <v>0</v>
      </c>
      <c r="O42" s="5" t="n">
        <v>0</v>
      </c>
      <c r="P42" s="5" t="n">
        <v>0</v>
      </c>
      <c r="Q42" s="5" t="n">
        <v>0</v>
      </c>
      <c r="R42" s="5" t="n">
        <v>0</v>
      </c>
      <c r="S42" s="5" t="n">
        <v>1</v>
      </c>
      <c r="T42" s="5" t="n">
        <v>0</v>
      </c>
      <c r="U42" s="5" t="n">
        <v>0</v>
      </c>
      <c r="V42" s="5" t="n">
        <v>0</v>
      </c>
      <c r="W42" s="5" t="n">
        <v>0</v>
      </c>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s">
        <v>960</v>
      </c>
      <c r="D43" s="5" t="n">
        <v>1</v>
      </c>
      <c r="E43" s="5" t="n">
        <v>1</v>
      </c>
      <c r="F43" s="5" t="n">
        <v>1</v>
      </c>
      <c r="G43" s="5" t="n">
        <v>1</v>
      </c>
      <c r="H43" s="5" t="n">
        <v>0</v>
      </c>
      <c r="I43" s="5" t="n">
        <v>0</v>
      </c>
      <c r="J43" s="5" t="n">
        <v>0</v>
      </c>
      <c r="K43" s="5" t="n">
        <v>0</v>
      </c>
      <c r="L43" s="5" t="n">
        <v>0</v>
      </c>
      <c r="M43" s="5" t="n">
        <v>0</v>
      </c>
      <c r="N43" s="5" t="n">
        <v>0</v>
      </c>
      <c r="O43" s="5" t="n">
        <v>0</v>
      </c>
      <c r="P43" s="5" t="n">
        <v>1</v>
      </c>
      <c r="Q43" s="5" t="n">
        <v>0</v>
      </c>
      <c r="R43" s="5" t="n">
        <v>0</v>
      </c>
      <c r="S43" s="5" t="n">
        <v>1</v>
      </c>
      <c r="T43" s="5" t="n">
        <v>0</v>
      </c>
      <c r="U43" s="5" t="n">
        <v>0</v>
      </c>
      <c r="V43" s="5" t="n">
        <v>0</v>
      </c>
      <c r="W43" s="5" t="n">
        <v>0</v>
      </c>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s">
        <v>963</v>
      </c>
      <c r="D44" s="5" t="n">
        <v>1</v>
      </c>
      <c r="E44" s="5" t="n">
        <v>1</v>
      </c>
      <c r="F44" s="5" t="n">
        <v>1</v>
      </c>
      <c r="G44" s="5" t="n">
        <v>1</v>
      </c>
      <c r="H44" s="5" t="n">
        <v>0</v>
      </c>
      <c r="I44" s="5" t="n">
        <v>0</v>
      </c>
      <c r="J44" s="5" t="n">
        <v>0</v>
      </c>
      <c r="K44" s="5" t="n">
        <v>0</v>
      </c>
      <c r="L44" s="5" t="n">
        <v>0</v>
      </c>
      <c r="M44" s="5" t="n">
        <v>1</v>
      </c>
      <c r="N44" s="5" t="n">
        <v>0</v>
      </c>
      <c r="O44" s="5" t="n">
        <v>0</v>
      </c>
      <c r="P44" s="5" t="n">
        <v>0</v>
      </c>
      <c r="Q44" s="5" t="n">
        <v>0</v>
      </c>
      <c r="R44" s="5" t="n">
        <v>0</v>
      </c>
      <c r="S44" s="5" t="n">
        <v>1</v>
      </c>
      <c r="T44" s="5" t="n">
        <v>0</v>
      </c>
      <c r="U44" s="5" t="n">
        <v>1</v>
      </c>
      <c r="V44" s="5" t="n">
        <v>0</v>
      </c>
      <c r="W44" s="5" t="n">
        <v>0</v>
      </c>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s">
        <v>966</v>
      </c>
      <c r="D45" s="5" t="n">
        <v>1</v>
      </c>
      <c r="E45" s="5" t="n">
        <v>1</v>
      </c>
      <c r="F45" s="5" t="n">
        <v>1</v>
      </c>
      <c r="G45" s="5" t="n">
        <v>1</v>
      </c>
      <c r="H45" s="5" t="n">
        <v>0</v>
      </c>
      <c r="I45" s="5" t="n">
        <v>0</v>
      </c>
      <c r="J45" s="5" t="n">
        <v>0</v>
      </c>
      <c r="K45" s="5" t="n">
        <v>0</v>
      </c>
      <c r="L45" s="5" t="n">
        <v>0</v>
      </c>
      <c r="M45" s="5" t="n">
        <v>0</v>
      </c>
      <c r="N45" s="5" t="n">
        <v>1</v>
      </c>
      <c r="O45" s="5" t="n">
        <v>0</v>
      </c>
      <c r="P45" s="5" t="n">
        <v>0</v>
      </c>
      <c r="Q45" s="5" t="n">
        <v>0</v>
      </c>
      <c r="R45" s="5" t="n">
        <v>0</v>
      </c>
      <c r="S45" s="5" t="n">
        <v>1</v>
      </c>
      <c r="T45" s="5" t="n">
        <v>0</v>
      </c>
      <c r="U45" s="5" t="n">
        <v>1</v>
      </c>
      <c r="V45" s="5" t="n">
        <v>0</v>
      </c>
      <c r="W45" s="5" t="n">
        <v>0</v>
      </c>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35.05" hidden="false" customHeight="false" outlineLevel="0" collapsed="false">
      <c r="A46" s="5" t="n">
        <v>45</v>
      </c>
      <c r="B46" s="5" t="s">
        <v>968</v>
      </c>
      <c r="C46" s="5" t="s">
        <v>14</v>
      </c>
      <c r="D46" s="5" t="n">
        <v>1</v>
      </c>
      <c r="E46" s="5" t="n">
        <v>1</v>
      </c>
      <c r="F46" s="5" t="n">
        <v>1</v>
      </c>
      <c r="G46" s="5" t="n">
        <v>1</v>
      </c>
      <c r="H46" s="5" t="n">
        <v>0</v>
      </c>
      <c r="I46" s="5" t="n">
        <v>0</v>
      </c>
      <c r="J46" s="5" t="n">
        <v>0</v>
      </c>
      <c r="K46" s="5" t="n">
        <v>0</v>
      </c>
      <c r="L46" s="5" t="n">
        <v>0</v>
      </c>
      <c r="M46" s="5" t="n">
        <v>1</v>
      </c>
      <c r="N46" s="5" t="n">
        <v>1</v>
      </c>
      <c r="O46" s="5" t="n">
        <v>0</v>
      </c>
      <c r="P46" s="5" t="n">
        <v>0</v>
      </c>
      <c r="Q46" s="5" t="n">
        <v>0</v>
      </c>
      <c r="R46" s="5" t="n">
        <v>0</v>
      </c>
      <c r="S46" s="5" t="n">
        <v>0</v>
      </c>
      <c r="T46" s="5" t="n">
        <v>0</v>
      </c>
      <c r="U46" s="5" t="n">
        <v>0</v>
      </c>
      <c r="V46" s="5" t="n">
        <v>0</v>
      </c>
      <c r="W46" s="5" t="n">
        <v>0</v>
      </c>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s">
        <v>971</v>
      </c>
      <c r="D47" s="5" t="n">
        <v>1</v>
      </c>
      <c r="E47" s="5" t="n">
        <v>1</v>
      </c>
      <c r="F47" s="5" t="n">
        <v>1</v>
      </c>
      <c r="G47" s="5" t="n">
        <v>1</v>
      </c>
      <c r="H47" s="5" t="n">
        <v>1</v>
      </c>
      <c r="I47" s="5" t="n">
        <v>0</v>
      </c>
      <c r="J47" s="5" t="n">
        <v>1</v>
      </c>
      <c r="K47" s="5" t="n">
        <v>1</v>
      </c>
      <c r="L47" s="5" t="n">
        <v>0</v>
      </c>
      <c r="M47" s="5" t="n">
        <v>0</v>
      </c>
      <c r="N47" s="5" t="n">
        <v>0</v>
      </c>
      <c r="O47" s="5" t="n">
        <v>0</v>
      </c>
      <c r="P47" s="5" t="n">
        <v>0</v>
      </c>
      <c r="Q47" s="5" t="n">
        <v>1</v>
      </c>
      <c r="R47" s="5" t="n">
        <v>0</v>
      </c>
      <c r="S47" s="5" t="n">
        <v>1</v>
      </c>
      <c r="T47" s="5" t="n">
        <v>0</v>
      </c>
      <c r="U47" s="5" t="n">
        <v>0</v>
      </c>
      <c r="V47" s="5" t="n">
        <v>1</v>
      </c>
      <c r="W47" s="5" t="n">
        <v>0</v>
      </c>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35.05" hidden="false" customHeight="false" outlineLevel="0" collapsed="false">
      <c r="A48" s="5" t="n">
        <v>47</v>
      </c>
      <c r="B48" s="5" t="s">
        <v>973</v>
      </c>
      <c r="C48" s="5" t="s">
        <v>974</v>
      </c>
      <c r="D48" s="5" t="n">
        <v>1</v>
      </c>
      <c r="E48" s="5" t="n">
        <v>1</v>
      </c>
      <c r="F48" s="5" t="n">
        <v>1</v>
      </c>
      <c r="G48" s="5" t="n">
        <v>1</v>
      </c>
      <c r="H48" s="5" t="n">
        <v>0</v>
      </c>
      <c r="I48" s="5" t="n">
        <v>0</v>
      </c>
      <c r="J48" s="5" t="n">
        <v>0</v>
      </c>
      <c r="K48" s="5" t="n">
        <v>0</v>
      </c>
      <c r="L48" s="5" t="n">
        <v>0</v>
      </c>
      <c r="M48" s="5" t="n">
        <v>1</v>
      </c>
      <c r="N48" s="5" t="n">
        <v>0</v>
      </c>
      <c r="O48" s="5" t="n">
        <v>0</v>
      </c>
      <c r="P48" s="5" t="n">
        <v>0</v>
      </c>
      <c r="Q48" s="5" t="n">
        <v>0</v>
      </c>
      <c r="R48" s="5" t="n">
        <v>0</v>
      </c>
      <c r="S48" s="5" t="n">
        <v>1</v>
      </c>
      <c r="T48" s="5" t="n">
        <v>0</v>
      </c>
      <c r="U48" s="5" t="n">
        <v>0</v>
      </c>
      <c r="V48" s="5" t="n">
        <v>0</v>
      </c>
      <c r="W48" s="5" t="n">
        <v>0</v>
      </c>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s">
        <v>977</v>
      </c>
      <c r="D49" s="5" t="n">
        <v>1</v>
      </c>
      <c r="E49" s="5" t="n">
        <v>1</v>
      </c>
      <c r="F49" s="5" t="n">
        <v>1</v>
      </c>
      <c r="G49" s="5" t="n">
        <v>1</v>
      </c>
      <c r="H49" s="5" t="n">
        <v>0</v>
      </c>
      <c r="I49" s="5" t="n">
        <v>0</v>
      </c>
      <c r="J49" s="5" t="n">
        <v>0</v>
      </c>
      <c r="K49" s="5" t="n">
        <v>0</v>
      </c>
      <c r="L49" s="5" t="n">
        <v>0</v>
      </c>
      <c r="M49" s="5" t="n">
        <v>1</v>
      </c>
      <c r="N49" s="5" t="n">
        <v>0</v>
      </c>
      <c r="O49" s="5" t="n">
        <v>0</v>
      </c>
      <c r="P49" s="5" t="n">
        <v>0</v>
      </c>
      <c r="Q49" s="5" t="n">
        <v>0</v>
      </c>
      <c r="R49" s="5" t="n">
        <v>0</v>
      </c>
      <c r="S49" s="5" t="n">
        <v>1</v>
      </c>
      <c r="T49" s="5" t="n">
        <v>0</v>
      </c>
      <c r="U49" s="5" t="n">
        <v>0</v>
      </c>
      <c r="V49" s="5" t="n">
        <v>0</v>
      </c>
      <c r="W49" s="5" t="n">
        <v>0</v>
      </c>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s">
        <v>980</v>
      </c>
      <c r="D50" s="5" t="n">
        <v>1</v>
      </c>
      <c r="E50" s="5" t="n">
        <v>1</v>
      </c>
      <c r="F50" s="5" t="n">
        <v>1</v>
      </c>
      <c r="G50" s="5" t="n">
        <v>1</v>
      </c>
      <c r="H50" s="5" t="n">
        <v>0</v>
      </c>
      <c r="I50" s="5" t="n">
        <v>0</v>
      </c>
      <c r="J50" s="5" t="n">
        <v>1</v>
      </c>
      <c r="K50" s="5" t="n">
        <v>1</v>
      </c>
      <c r="L50" s="5" t="n">
        <v>0</v>
      </c>
      <c r="M50" s="5" t="n">
        <v>0</v>
      </c>
      <c r="N50" s="5" t="n">
        <v>0</v>
      </c>
      <c r="O50" s="5" t="n">
        <v>1</v>
      </c>
      <c r="P50" s="5" t="n">
        <v>0</v>
      </c>
      <c r="Q50" s="5" t="n">
        <v>0</v>
      </c>
      <c r="R50" s="5" t="n">
        <v>0</v>
      </c>
      <c r="S50" s="5" t="n">
        <v>1</v>
      </c>
      <c r="T50" s="5" t="n">
        <v>0</v>
      </c>
      <c r="U50" s="5" t="n">
        <v>0</v>
      </c>
      <c r="V50" s="5" t="n">
        <v>0</v>
      </c>
      <c r="W50" s="5" t="n">
        <v>0</v>
      </c>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23.85" hidden="false" customHeight="false" outlineLevel="0" collapsed="false">
      <c r="A51" s="5" t="n">
        <v>50</v>
      </c>
      <c r="B51" s="5" t="s">
        <v>981</v>
      </c>
      <c r="C51" s="5" t="s">
        <v>982</v>
      </c>
      <c r="D51" s="5" t="n">
        <v>1</v>
      </c>
      <c r="E51" s="5" t="n">
        <v>1</v>
      </c>
      <c r="F51" s="5" t="n">
        <v>1</v>
      </c>
      <c r="G51" s="5" t="n">
        <v>1</v>
      </c>
      <c r="H51" s="5" t="n">
        <v>1</v>
      </c>
      <c r="I51" s="5" t="n">
        <v>0</v>
      </c>
      <c r="J51" s="5" t="n">
        <v>0</v>
      </c>
      <c r="K51" s="5" t="n">
        <v>0</v>
      </c>
      <c r="L51" s="5" t="n">
        <v>0</v>
      </c>
      <c r="M51" s="5" t="n">
        <v>0</v>
      </c>
      <c r="N51" s="5" t="n">
        <v>0</v>
      </c>
      <c r="O51" s="5" t="n">
        <v>0</v>
      </c>
      <c r="P51" s="5" t="n">
        <v>1</v>
      </c>
      <c r="Q51" s="5" t="n">
        <v>0</v>
      </c>
      <c r="R51" s="5" t="n">
        <v>0</v>
      </c>
      <c r="S51" s="5" t="n">
        <v>0</v>
      </c>
      <c r="T51" s="5" t="n">
        <v>0</v>
      </c>
      <c r="U51" s="5" t="n">
        <v>0</v>
      </c>
      <c r="V51" s="5" t="n">
        <v>0</v>
      </c>
      <c r="W51" s="5" t="n">
        <v>1</v>
      </c>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35.05" hidden="false" customHeight="false" outlineLevel="0" collapsed="false">
      <c r="A52" s="5" t="n">
        <v>51</v>
      </c>
      <c r="B52" s="5" t="s">
        <v>983</v>
      </c>
      <c r="C52" s="5" t="s">
        <v>984</v>
      </c>
      <c r="D52" s="5" t="n">
        <v>1</v>
      </c>
      <c r="E52" s="5" t="n">
        <v>1</v>
      </c>
      <c r="F52" s="5" t="n">
        <v>1</v>
      </c>
      <c r="G52" s="5" t="n">
        <v>1</v>
      </c>
      <c r="H52" s="5" t="n">
        <v>0</v>
      </c>
      <c r="I52" s="5" t="n">
        <v>0</v>
      </c>
      <c r="J52" s="5" t="n">
        <v>0</v>
      </c>
      <c r="K52" s="5" t="n">
        <v>0</v>
      </c>
      <c r="L52" s="5" t="n">
        <v>0</v>
      </c>
      <c r="M52" s="5" t="n">
        <v>0</v>
      </c>
      <c r="N52" s="5" t="n">
        <v>0</v>
      </c>
      <c r="O52" s="5" t="n">
        <v>0</v>
      </c>
      <c r="P52" s="5" t="n">
        <v>0</v>
      </c>
      <c r="Q52" s="5" t="n">
        <v>0</v>
      </c>
      <c r="R52" s="5" t="n">
        <v>0</v>
      </c>
      <c r="S52" s="5" t="n">
        <v>1</v>
      </c>
      <c r="T52" s="5" t="n">
        <v>0</v>
      </c>
      <c r="U52" s="5" t="n">
        <v>0</v>
      </c>
      <c r="V52" s="5" t="n">
        <v>1</v>
      </c>
      <c r="W52" s="5" t="n">
        <v>0</v>
      </c>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23.85" hidden="false" customHeight="false" outlineLevel="0" collapsed="false">
      <c r="A53" s="5" t="n">
        <v>52</v>
      </c>
      <c r="B53" s="5" t="s">
        <v>986</v>
      </c>
      <c r="C53" s="5" t="s">
        <v>987</v>
      </c>
      <c r="D53" s="5" t="n">
        <v>1</v>
      </c>
      <c r="E53" s="5" t="n">
        <v>1</v>
      </c>
      <c r="F53" s="5" t="n">
        <v>1</v>
      </c>
      <c r="G53" s="5" t="n">
        <v>1</v>
      </c>
      <c r="H53" s="5" t="n">
        <v>0</v>
      </c>
      <c r="I53" s="5" t="n">
        <v>0</v>
      </c>
      <c r="J53" s="5" t="n">
        <v>0</v>
      </c>
      <c r="K53" s="5" t="n">
        <v>0</v>
      </c>
      <c r="L53" s="5" t="n">
        <v>0</v>
      </c>
      <c r="M53" s="5" t="n">
        <v>1</v>
      </c>
      <c r="N53" s="5" t="n">
        <v>0</v>
      </c>
      <c r="O53" s="5" t="n">
        <v>1</v>
      </c>
      <c r="P53" s="5" t="n">
        <v>0</v>
      </c>
      <c r="Q53" s="5" t="n">
        <v>0</v>
      </c>
      <c r="R53" s="5" t="n">
        <v>0</v>
      </c>
      <c r="S53" s="5" t="n">
        <v>1</v>
      </c>
      <c r="T53" s="5" t="n">
        <v>0</v>
      </c>
      <c r="U53" s="5" t="n">
        <v>0</v>
      </c>
      <c r="V53" s="5" t="n">
        <v>0</v>
      </c>
      <c r="W53" s="5" t="n">
        <v>0</v>
      </c>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s">
        <v>991</v>
      </c>
      <c r="D54" s="5" t="n">
        <v>1</v>
      </c>
      <c r="E54" s="5" t="n">
        <v>1</v>
      </c>
      <c r="F54" s="5" t="n">
        <v>1</v>
      </c>
      <c r="G54" s="5" t="n">
        <v>1</v>
      </c>
      <c r="H54" s="5" t="n">
        <v>1</v>
      </c>
      <c r="I54" s="5" t="n">
        <v>0</v>
      </c>
      <c r="J54" s="5" t="n">
        <v>1</v>
      </c>
      <c r="K54" s="5" t="n">
        <v>1</v>
      </c>
      <c r="L54" s="5" t="n">
        <v>0</v>
      </c>
      <c r="M54" s="5" t="n">
        <v>1</v>
      </c>
      <c r="N54" s="5" t="n">
        <v>0</v>
      </c>
      <c r="O54" s="5" t="n">
        <v>0</v>
      </c>
      <c r="P54" s="5" t="n">
        <v>0</v>
      </c>
      <c r="Q54" s="5" t="n">
        <v>0</v>
      </c>
      <c r="R54" s="5" t="n">
        <v>0</v>
      </c>
      <c r="S54" s="5" t="n">
        <v>0</v>
      </c>
      <c r="T54" s="5" t="n">
        <v>0</v>
      </c>
      <c r="U54" s="5" t="n">
        <v>0</v>
      </c>
      <c r="V54" s="5" t="n">
        <v>0</v>
      </c>
      <c r="W54" s="5" t="n">
        <v>1</v>
      </c>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35.05" hidden="false" customHeight="false" outlineLevel="0" collapsed="false">
      <c r="A55" s="5" t="n">
        <v>54</v>
      </c>
      <c r="B55" s="5" t="s">
        <v>993</v>
      </c>
      <c r="C55" s="5" t="s">
        <v>994</v>
      </c>
      <c r="D55" s="5" t="n">
        <v>1</v>
      </c>
      <c r="E55" s="5" t="n">
        <v>1</v>
      </c>
      <c r="F55" s="5" t="n">
        <v>1</v>
      </c>
      <c r="G55" s="5" t="n">
        <v>1</v>
      </c>
      <c r="H55" s="5" t="n">
        <v>0</v>
      </c>
      <c r="I55" s="5" t="n">
        <v>0</v>
      </c>
      <c r="J55" s="5" t="n">
        <v>0</v>
      </c>
      <c r="K55" s="5" t="n">
        <v>0</v>
      </c>
      <c r="L55" s="5" t="n">
        <v>0</v>
      </c>
      <c r="M55" s="5" t="n">
        <v>1</v>
      </c>
      <c r="N55" s="5" t="n">
        <v>0</v>
      </c>
      <c r="O55" s="5" t="n">
        <v>0</v>
      </c>
      <c r="P55" s="5" t="n">
        <v>0</v>
      </c>
      <c r="Q55" s="5" t="n">
        <v>0</v>
      </c>
      <c r="R55" s="5" t="n">
        <v>1</v>
      </c>
      <c r="S55" s="5" t="n">
        <v>0</v>
      </c>
      <c r="T55" s="5" t="n">
        <v>0</v>
      </c>
      <c r="U55" s="5" t="n">
        <v>0</v>
      </c>
      <c r="V55" s="5" t="n">
        <v>0</v>
      </c>
      <c r="W55" s="5" t="n">
        <v>0</v>
      </c>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23.85" hidden="false" customHeight="false" outlineLevel="0" collapsed="false">
      <c r="A56" s="5" t="n">
        <v>55</v>
      </c>
      <c r="B56" s="5" t="s">
        <v>996</v>
      </c>
      <c r="C56" s="5" t="s">
        <v>997</v>
      </c>
      <c r="D56" s="5" t="n">
        <v>1</v>
      </c>
      <c r="E56" s="5" t="n">
        <v>1</v>
      </c>
      <c r="F56" s="5" t="n">
        <v>1</v>
      </c>
      <c r="G56" s="5" t="n">
        <v>1</v>
      </c>
      <c r="H56" s="5" t="n">
        <v>1</v>
      </c>
      <c r="I56" s="5" t="n">
        <v>0</v>
      </c>
      <c r="J56" s="5" t="n">
        <v>0</v>
      </c>
      <c r="K56" s="5" t="n">
        <v>0</v>
      </c>
      <c r="L56" s="5" t="n">
        <v>0</v>
      </c>
      <c r="M56" s="5" t="n">
        <v>1</v>
      </c>
      <c r="N56" s="5" t="n">
        <v>0</v>
      </c>
      <c r="O56" s="5" t="n">
        <v>0</v>
      </c>
      <c r="P56" s="5" t="n">
        <v>0</v>
      </c>
      <c r="Q56" s="5" t="n">
        <v>0</v>
      </c>
      <c r="R56" s="5" t="n">
        <v>0</v>
      </c>
      <c r="S56" s="5" t="n">
        <v>0</v>
      </c>
      <c r="T56" s="5" t="n">
        <v>0</v>
      </c>
      <c r="U56" s="5" t="n">
        <v>0</v>
      </c>
      <c r="V56" s="5" t="n">
        <v>0</v>
      </c>
      <c r="W56" s="5" t="n">
        <v>1</v>
      </c>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35.05" hidden="false" customHeight="false" outlineLevel="0" collapsed="false">
      <c r="A57" s="5" t="n">
        <v>56</v>
      </c>
      <c r="B57" s="5" t="s">
        <v>175</v>
      </c>
      <c r="C57" s="5" t="s">
        <v>998</v>
      </c>
      <c r="D57" s="5" t="n">
        <v>1</v>
      </c>
      <c r="E57" s="5" t="n">
        <v>1</v>
      </c>
      <c r="F57" s="5" t="n">
        <v>1</v>
      </c>
      <c r="G57" s="5" t="n">
        <v>1</v>
      </c>
      <c r="H57" s="5" t="n">
        <v>1</v>
      </c>
      <c r="I57" s="5" t="n">
        <v>0</v>
      </c>
      <c r="J57" s="5" t="n">
        <v>0</v>
      </c>
      <c r="K57" s="5" t="n">
        <v>0</v>
      </c>
      <c r="L57" s="5" t="n">
        <v>0</v>
      </c>
      <c r="M57" s="5" t="n">
        <v>0</v>
      </c>
      <c r="N57" s="5" t="n">
        <v>0</v>
      </c>
      <c r="O57" s="5" t="n">
        <v>0</v>
      </c>
      <c r="P57" s="5" t="n">
        <v>0</v>
      </c>
      <c r="Q57" s="5" t="n">
        <v>0</v>
      </c>
      <c r="R57" s="5" t="n">
        <v>0</v>
      </c>
      <c r="S57" s="5" t="n">
        <v>1</v>
      </c>
      <c r="T57" s="5" t="n">
        <v>0</v>
      </c>
      <c r="U57" s="5" t="n">
        <v>0</v>
      </c>
      <c r="V57" s="5" t="n">
        <v>0</v>
      </c>
      <c r="W57" s="5" t="n">
        <v>1</v>
      </c>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s">
        <v>836</v>
      </c>
      <c r="D58" s="5" t="n">
        <v>1</v>
      </c>
      <c r="E58" s="5" t="n">
        <v>1</v>
      </c>
      <c r="F58" s="5" t="n">
        <v>1</v>
      </c>
      <c r="G58" s="5" t="n">
        <v>1</v>
      </c>
      <c r="H58" s="5" t="n">
        <v>0</v>
      </c>
      <c r="I58" s="5" t="n">
        <v>0</v>
      </c>
      <c r="J58" s="5" t="n">
        <v>0</v>
      </c>
      <c r="K58" s="5" t="n">
        <v>0</v>
      </c>
      <c r="L58" s="5" t="n">
        <v>0</v>
      </c>
      <c r="M58" s="5" t="n">
        <v>1</v>
      </c>
      <c r="N58" s="5" t="n">
        <v>0</v>
      </c>
      <c r="O58" s="5" t="n">
        <v>0</v>
      </c>
      <c r="P58" s="5" t="n">
        <v>0</v>
      </c>
      <c r="Q58" s="5" t="n">
        <v>0</v>
      </c>
      <c r="R58" s="5" t="n">
        <v>0</v>
      </c>
      <c r="S58" s="5" t="n">
        <v>0</v>
      </c>
      <c r="T58" s="5" t="n">
        <v>0</v>
      </c>
      <c r="U58" s="5" t="n">
        <v>0</v>
      </c>
      <c r="V58" s="5" t="n">
        <v>0</v>
      </c>
      <c r="W58" s="5" t="n">
        <v>0</v>
      </c>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s">
        <v>1003</v>
      </c>
      <c r="D59" s="5" t="n">
        <v>1</v>
      </c>
      <c r="E59" s="5" t="n">
        <v>1</v>
      </c>
      <c r="F59" s="5" t="n">
        <v>1</v>
      </c>
      <c r="G59" s="5" t="n">
        <v>1</v>
      </c>
      <c r="H59" s="5" t="n">
        <v>0</v>
      </c>
      <c r="I59" s="5" t="n">
        <v>0</v>
      </c>
      <c r="J59" s="5" t="n">
        <v>0</v>
      </c>
      <c r="K59" s="5" t="n">
        <v>0</v>
      </c>
      <c r="L59" s="5" t="n">
        <v>0</v>
      </c>
      <c r="M59" s="5" t="n">
        <v>0</v>
      </c>
      <c r="N59" s="5" t="n">
        <v>0</v>
      </c>
      <c r="O59" s="5" t="n">
        <v>0</v>
      </c>
      <c r="P59" s="5" t="n">
        <v>0</v>
      </c>
      <c r="Q59" s="5" t="n">
        <v>0</v>
      </c>
      <c r="R59" s="5" t="n">
        <v>0</v>
      </c>
      <c r="S59" s="5" t="n">
        <v>1</v>
      </c>
      <c r="T59" s="5" t="n">
        <v>0</v>
      </c>
      <c r="U59" s="5" t="n">
        <v>0</v>
      </c>
      <c r="V59" s="5" t="n">
        <v>0</v>
      </c>
      <c r="W59" s="5" t="n">
        <v>0</v>
      </c>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s">
        <v>1007</v>
      </c>
      <c r="D60" s="1" t="n">
        <v>1</v>
      </c>
      <c r="E60" s="1" t="n">
        <v>1</v>
      </c>
      <c r="F60" s="1" t="n">
        <v>0</v>
      </c>
      <c r="G60" s="1" t="n">
        <v>0</v>
      </c>
      <c r="H60" s="1" t="n">
        <v>0</v>
      </c>
      <c r="I60" s="1" t="n">
        <v>0</v>
      </c>
      <c r="J60" s="1" t="n">
        <v>1</v>
      </c>
      <c r="K60" s="1" t="n">
        <v>1</v>
      </c>
      <c r="L60" s="1" t="n">
        <v>0</v>
      </c>
      <c r="M60" s="1" t="n">
        <v>0</v>
      </c>
      <c r="N60" s="1" t="n">
        <v>0</v>
      </c>
      <c r="O60" s="1" t="n">
        <v>0</v>
      </c>
      <c r="P60" s="1" t="n">
        <v>0</v>
      </c>
      <c r="Q60" s="1" t="n">
        <v>0</v>
      </c>
      <c r="R60" s="1" t="n">
        <v>0</v>
      </c>
      <c r="S60" s="1" t="n">
        <v>1</v>
      </c>
      <c r="T60" s="1" t="n">
        <v>0</v>
      </c>
      <c r="U60" s="1" t="n">
        <v>0</v>
      </c>
      <c r="V60" s="1" t="n">
        <v>1</v>
      </c>
      <c r="W60" s="1" t="n">
        <v>0</v>
      </c>
    </row>
  </sheetData>
  <conditionalFormatting sqref="C2:AZ59">
    <cfRule type="expression" priority="2" aboveAverage="0" equalAverage="0" bottom="0" percent="0" rank="0" text="" dxfId="30">
      <formula>C2=1</formula>
    </cfRule>
    <cfRule type="expression" priority="3" aboveAverage="0" equalAverage="0" bottom="0" percent="0" rank="0" text="" dxfId="31">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22" min="3" style="1" width="15"/>
    <col collapsed="false" customWidth="true" hidden="false" outlineLevel="0" max="23" min="23" style="1" width="18"/>
    <col collapsed="false" customWidth="true" hidden="false" outlineLevel="0" max="24" min="24" style="1" width="14"/>
    <col collapsed="false" customWidth="true" hidden="false" outlineLevel="0" max="25" min="25" style="1" width="16"/>
    <col collapsed="false" customWidth="true" hidden="false" outlineLevel="0" max="26" min="26" style="1" width="14"/>
    <col collapsed="false" customWidth="true" hidden="false" outlineLevel="0" max="52" min="27" style="1" width="15"/>
  </cols>
  <sheetData>
    <row r="1" customFormat="false" ht="36" hidden="false" customHeight="true" outlineLevel="0" collapsed="false">
      <c r="A1" s="6" t="s">
        <v>805</v>
      </c>
      <c r="B1" s="5" t="s">
        <v>1012</v>
      </c>
      <c r="C1" s="5" t="s">
        <v>1685</v>
      </c>
      <c r="D1" s="5" t="s">
        <v>951</v>
      </c>
      <c r="E1" s="5" t="s">
        <v>988</v>
      </c>
      <c r="F1" s="5" t="s">
        <v>1686</v>
      </c>
      <c r="G1" s="5" t="s">
        <v>1687</v>
      </c>
      <c r="H1" s="5" t="s">
        <v>1030</v>
      </c>
      <c r="I1" s="5" t="s">
        <v>1031</v>
      </c>
      <c r="J1" s="5" t="s">
        <v>1032</v>
      </c>
      <c r="K1" s="5" t="s">
        <v>1033</v>
      </c>
      <c r="L1" s="5" t="s">
        <v>1688</v>
      </c>
      <c r="M1" s="5" t="s">
        <v>1689</v>
      </c>
      <c r="N1" s="5" t="s">
        <v>1049</v>
      </c>
      <c r="O1" s="5" t="s">
        <v>1690</v>
      </c>
      <c r="P1" s="5" t="s">
        <v>1691</v>
      </c>
      <c r="Q1" s="5" t="s">
        <v>1692</v>
      </c>
      <c r="R1" s="5" t="s">
        <v>1693</v>
      </c>
      <c r="S1" s="5" t="s">
        <v>1694</v>
      </c>
      <c r="T1" s="5" t="s">
        <v>1695</v>
      </c>
      <c r="U1" s="5" t="s">
        <v>1696</v>
      </c>
      <c r="V1" s="5" t="s">
        <v>1697</v>
      </c>
      <c r="W1" s="5" t="s">
        <v>1469</v>
      </c>
      <c r="X1" s="5" t="s">
        <v>1698</v>
      </c>
      <c r="Y1" s="5" t="s">
        <v>1699</v>
      </c>
      <c r="Z1" s="5" t="s">
        <v>1700</v>
      </c>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n">
        <v>0</v>
      </c>
      <c r="D2" s="5" t="n">
        <v>0</v>
      </c>
      <c r="E2" s="5" t="n">
        <v>0</v>
      </c>
      <c r="F2" s="5" t="n">
        <v>0</v>
      </c>
      <c r="G2" s="5" t="n">
        <v>1</v>
      </c>
      <c r="H2" s="5" t="n">
        <v>0</v>
      </c>
      <c r="I2" s="5" t="n">
        <v>0</v>
      </c>
      <c r="J2" s="5" t="n">
        <v>0</v>
      </c>
      <c r="K2" s="5" t="n">
        <v>0</v>
      </c>
      <c r="L2" s="5" t="n">
        <v>0</v>
      </c>
      <c r="M2" s="5" t="n">
        <v>0</v>
      </c>
      <c r="N2" s="5" t="n">
        <v>0</v>
      </c>
      <c r="O2" s="5" t="n">
        <v>0</v>
      </c>
      <c r="P2" s="5" t="n">
        <v>0</v>
      </c>
      <c r="Q2" s="5" t="n">
        <v>0</v>
      </c>
      <c r="R2" s="5" t="n">
        <v>0</v>
      </c>
      <c r="S2" s="5" t="n">
        <v>0</v>
      </c>
      <c r="T2" s="5" t="n">
        <v>0</v>
      </c>
      <c r="U2" s="5" t="n">
        <v>0</v>
      </c>
      <c r="V2" s="5" t="n">
        <v>0</v>
      </c>
      <c r="W2" s="5" t="s">
        <v>795</v>
      </c>
      <c r="X2" s="5" t="n">
        <v>1</v>
      </c>
      <c r="Y2" s="5" t="n">
        <v>0</v>
      </c>
      <c r="Z2" s="5" t="n">
        <v>1</v>
      </c>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n">
        <v>0</v>
      </c>
      <c r="D3" s="5" t="n">
        <v>0</v>
      </c>
      <c r="E3" s="5" t="n">
        <v>0</v>
      </c>
      <c r="F3" s="5" t="n">
        <v>0</v>
      </c>
      <c r="G3" s="5" t="n">
        <v>1</v>
      </c>
      <c r="H3" s="5" t="n">
        <v>0</v>
      </c>
      <c r="I3" s="5" t="n">
        <v>0</v>
      </c>
      <c r="J3" s="5" t="n">
        <v>0</v>
      </c>
      <c r="K3" s="5" t="n">
        <v>0</v>
      </c>
      <c r="L3" s="5" t="n">
        <v>0</v>
      </c>
      <c r="M3" s="5" t="n">
        <v>0</v>
      </c>
      <c r="N3" s="5" t="n">
        <v>0</v>
      </c>
      <c r="O3" s="5" t="n">
        <v>0</v>
      </c>
      <c r="P3" s="5" t="n">
        <v>0</v>
      </c>
      <c r="Q3" s="5" t="n">
        <v>0</v>
      </c>
      <c r="R3" s="5" t="n">
        <v>0</v>
      </c>
      <c r="S3" s="5" t="n">
        <v>0</v>
      </c>
      <c r="T3" s="5" t="n">
        <v>0</v>
      </c>
      <c r="U3" s="5" t="n">
        <v>0</v>
      </c>
      <c r="V3" s="5" t="n">
        <v>0</v>
      </c>
      <c r="W3" s="5" t="s">
        <v>795</v>
      </c>
      <c r="X3" s="5" t="n">
        <v>1</v>
      </c>
      <c r="Y3" s="5" t="n">
        <v>0</v>
      </c>
      <c r="Z3" s="5" t="n">
        <v>1</v>
      </c>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n">
        <v>0</v>
      </c>
      <c r="D4" s="5" t="n">
        <v>0</v>
      </c>
      <c r="E4" s="5" t="n">
        <v>0</v>
      </c>
      <c r="F4" s="5" t="n">
        <v>0</v>
      </c>
      <c r="G4" s="5" t="n">
        <v>0</v>
      </c>
      <c r="H4" s="5" t="n">
        <v>0</v>
      </c>
      <c r="I4" s="5" t="n">
        <v>0</v>
      </c>
      <c r="J4" s="5" t="n">
        <v>0</v>
      </c>
      <c r="K4" s="5" t="n">
        <v>0</v>
      </c>
      <c r="L4" s="5" t="n">
        <v>0</v>
      </c>
      <c r="M4" s="5" t="n">
        <v>0</v>
      </c>
      <c r="N4" s="5" t="n">
        <v>0</v>
      </c>
      <c r="O4" s="5" t="n">
        <v>0</v>
      </c>
      <c r="P4" s="5" t="n">
        <v>0</v>
      </c>
      <c r="Q4" s="5" t="n">
        <v>0</v>
      </c>
      <c r="R4" s="5" t="n">
        <v>0</v>
      </c>
      <c r="S4" s="5" t="n">
        <v>0</v>
      </c>
      <c r="T4" s="5" t="n">
        <v>0</v>
      </c>
      <c r="U4" s="5" t="n">
        <v>0</v>
      </c>
      <c r="V4" s="5" t="n">
        <v>0</v>
      </c>
      <c r="W4" s="5" t="s">
        <v>795</v>
      </c>
      <c r="X4" s="5" t="n">
        <v>1</v>
      </c>
      <c r="Y4" s="5" t="n">
        <v>0</v>
      </c>
      <c r="Z4" s="5" t="n">
        <v>1</v>
      </c>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n">
        <v>1</v>
      </c>
      <c r="D5" s="5" t="n">
        <v>0</v>
      </c>
      <c r="E5" s="5" t="n">
        <v>0</v>
      </c>
      <c r="F5" s="5" t="n">
        <v>1</v>
      </c>
      <c r="G5" s="5" t="n">
        <v>0</v>
      </c>
      <c r="H5" s="5" t="n">
        <v>0</v>
      </c>
      <c r="I5" s="5" t="n">
        <v>0</v>
      </c>
      <c r="J5" s="5" t="n">
        <v>0</v>
      </c>
      <c r="K5" s="5" t="n">
        <v>0</v>
      </c>
      <c r="L5" s="5" t="n">
        <v>0</v>
      </c>
      <c r="M5" s="5" t="n">
        <v>0</v>
      </c>
      <c r="N5" s="5" t="n">
        <v>0</v>
      </c>
      <c r="O5" s="5" t="n">
        <v>0</v>
      </c>
      <c r="P5" s="5" t="n">
        <v>0</v>
      </c>
      <c r="Q5" s="5" t="n">
        <v>0</v>
      </c>
      <c r="R5" s="5" t="n">
        <v>0</v>
      </c>
      <c r="S5" s="5" t="n">
        <v>0</v>
      </c>
      <c r="T5" s="5" t="n">
        <v>0</v>
      </c>
      <c r="U5" s="5" t="n">
        <v>0</v>
      </c>
      <c r="V5" s="5" t="n">
        <v>0</v>
      </c>
      <c r="W5" s="5" t="s">
        <v>795</v>
      </c>
      <c r="X5" s="5" t="n">
        <v>1</v>
      </c>
      <c r="Y5" s="5" t="n">
        <v>0</v>
      </c>
      <c r="Z5" s="5" t="n">
        <v>1</v>
      </c>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n">
        <v>1</v>
      </c>
      <c r="D6" s="5" t="n">
        <v>0</v>
      </c>
      <c r="E6" s="5" t="n">
        <v>0</v>
      </c>
      <c r="F6" s="5" t="n">
        <v>0</v>
      </c>
      <c r="G6" s="5" t="n">
        <v>0</v>
      </c>
      <c r="H6" s="5" t="n">
        <v>0</v>
      </c>
      <c r="I6" s="5" t="n">
        <v>0</v>
      </c>
      <c r="J6" s="5" t="n">
        <v>0</v>
      </c>
      <c r="K6" s="5" t="n">
        <v>0</v>
      </c>
      <c r="L6" s="5" t="n">
        <v>0</v>
      </c>
      <c r="M6" s="5" t="n">
        <v>1</v>
      </c>
      <c r="N6" s="5" t="n">
        <v>0</v>
      </c>
      <c r="O6" s="5" t="n">
        <v>0</v>
      </c>
      <c r="P6" s="5" t="n">
        <v>0</v>
      </c>
      <c r="Q6" s="5" t="n">
        <v>0</v>
      </c>
      <c r="R6" s="5" t="n">
        <v>0</v>
      </c>
      <c r="S6" s="5" t="n">
        <v>0</v>
      </c>
      <c r="T6" s="5" t="n">
        <v>0</v>
      </c>
      <c r="U6" s="5" t="n">
        <v>0</v>
      </c>
      <c r="V6" s="5" t="n">
        <v>0</v>
      </c>
      <c r="W6" s="5" t="s">
        <v>835</v>
      </c>
      <c r="X6" s="5" t="n">
        <v>0</v>
      </c>
      <c r="Y6" s="5" t="n">
        <v>0</v>
      </c>
      <c r="Z6" s="5" t="n">
        <v>0</v>
      </c>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23.85" hidden="false" customHeight="false" outlineLevel="0" collapsed="false">
      <c r="A7" s="5" t="n">
        <v>6</v>
      </c>
      <c r="B7" s="5" t="s">
        <v>839</v>
      </c>
      <c r="C7" s="5" t="n">
        <v>1</v>
      </c>
      <c r="D7" s="5" t="n">
        <v>0</v>
      </c>
      <c r="E7" s="5" t="n">
        <v>0</v>
      </c>
      <c r="F7" s="5" t="n">
        <v>0</v>
      </c>
      <c r="G7" s="5" t="n">
        <v>0</v>
      </c>
      <c r="H7" s="5" t="n">
        <v>0</v>
      </c>
      <c r="I7" s="5" t="n">
        <v>0</v>
      </c>
      <c r="J7" s="5" t="n">
        <v>0</v>
      </c>
      <c r="K7" s="5" t="n">
        <v>0</v>
      </c>
      <c r="L7" s="5" t="n">
        <v>0</v>
      </c>
      <c r="M7" s="5" t="n">
        <v>0</v>
      </c>
      <c r="N7" s="5" t="n">
        <v>0</v>
      </c>
      <c r="O7" s="5" t="n">
        <v>0</v>
      </c>
      <c r="P7" s="5" t="n">
        <v>0</v>
      </c>
      <c r="Q7" s="5" t="n">
        <v>0</v>
      </c>
      <c r="R7" s="5" t="n">
        <v>0</v>
      </c>
      <c r="S7" s="5" t="n">
        <v>0</v>
      </c>
      <c r="T7" s="5" t="n">
        <v>0</v>
      </c>
      <c r="U7" s="5" t="n">
        <v>0</v>
      </c>
      <c r="V7" s="5" t="n">
        <v>0</v>
      </c>
      <c r="W7" s="5" t="s">
        <v>835</v>
      </c>
      <c r="X7" s="5" t="n">
        <v>0</v>
      </c>
      <c r="Y7" s="5" t="n">
        <v>0</v>
      </c>
      <c r="Z7" s="5" t="n">
        <v>1</v>
      </c>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n">
        <v>0</v>
      </c>
      <c r="D8" s="5" t="n">
        <v>0</v>
      </c>
      <c r="E8" s="5" t="n">
        <v>0</v>
      </c>
      <c r="F8" s="5" t="n">
        <v>0</v>
      </c>
      <c r="G8" s="5" t="n">
        <v>0</v>
      </c>
      <c r="H8" s="5" t="n">
        <v>0</v>
      </c>
      <c r="I8" s="5" t="n">
        <v>1</v>
      </c>
      <c r="J8" s="5" t="n">
        <v>1</v>
      </c>
      <c r="K8" s="5" t="n">
        <v>0</v>
      </c>
      <c r="L8" s="5" t="n">
        <v>0</v>
      </c>
      <c r="M8" s="5" t="n">
        <v>0</v>
      </c>
      <c r="N8" s="5" t="n">
        <v>0</v>
      </c>
      <c r="O8" s="5" t="n">
        <v>0</v>
      </c>
      <c r="P8" s="5" t="n">
        <v>0</v>
      </c>
      <c r="Q8" s="5" t="n">
        <v>0</v>
      </c>
      <c r="R8" s="5" t="n">
        <v>0</v>
      </c>
      <c r="S8" s="5" t="n">
        <v>0</v>
      </c>
      <c r="T8" s="5" t="n">
        <v>1</v>
      </c>
      <c r="U8" s="5" t="n">
        <v>0</v>
      </c>
      <c r="V8" s="5" t="n">
        <v>0</v>
      </c>
      <c r="W8" s="5" t="s">
        <v>795</v>
      </c>
      <c r="X8" s="5" t="n">
        <v>1</v>
      </c>
      <c r="Y8" s="5" t="n">
        <v>1</v>
      </c>
      <c r="Z8" s="5" t="n">
        <v>0</v>
      </c>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23.85" hidden="false" customHeight="false" outlineLevel="0" collapsed="false">
      <c r="A9" s="5" t="n">
        <v>8</v>
      </c>
      <c r="B9" s="5" t="s">
        <v>847</v>
      </c>
      <c r="C9" s="5" t="n">
        <v>1</v>
      </c>
      <c r="D9" s="5" t="n">
        <v>0</v>
      </c>
      <c r="E9" s="5" t="n">
        <v>0</v>
      </c>
      <c r="F9" s="5" t="n">
        <v>1</v>
      </c>
      <c r="G9" s="5" t="n">
        <v>0</v>
      </c>
      <c r="H9" s="5" t="n">
        <v>0</v>
      </c>
      <c r="I9" s="5" t="n">
        <v>0</v>
      </c>
      <c r="J9" s="5" t="n">
        <v>0</v>
      </c>
      <c r="K9" s="5" t="n">
        <v>0</v>
      </c>
      <c r="L9" s="5" t="n">
        <v>0</v>
      </c>
      <c r="M9" s="5" t="n">
        <v>0</v>
      </c>
      <c r="N9" s="5" t="n">
        <v>0</v>
      </c>
      <c r="O9" s="5" t="n">
        <v>0</v>
      </c>
      <c r="P9" s="5" t="n">
        <v>0</v>
      </c>
      <c r="Q9" s="5" t="n">
        <v>0</v>
      </c>
      <c r="R9" s="5" t="n">
        <v>0</v>
      </c>
      <c r="S9" s="5" t="n">
        <v>0</v>
      </c>
      <c r="T9" s="5" t="n">
        <v>0</v>
      </c>
      <c r="U9" s="5" t="n">
        <v>0</v>
      </c>
      <c r="V9" s="5" t="n">
        <v>0</v>
      </c>
      <c r="W9" s="5" t="s">
        <v>795</v>
      </c>
      <c r="X9" s="5" t="n">
        <v>1</v>
      </c>
      <c r="Y9" s="5" t="n">
        <v>0</v>
      </c>
      <c r="Z9" s="5" t="n">
        <v>1</v>
      </c>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n">
        <v>0</v>
      </c>
      <c r="D10" s="5" t="n">
        <v>0</v>
      </c>
      <c r="E10" s="5" t="n">
        <v>0</v>
      </c>
      <c r="F10" s="5" t="n">
        <v>0</v>
      </c>
      <c r="G10" s="5" t="n">
        <v>0</v>
      </c>
      <c r="H10" s="5" t="n">
        <v>0</v>
      </c>
      <c r="I10" s="5" t="n">
        <v>0</v>
      </c>
      <c r="J10" s="5" t="n">
        <v>0</v>
      </c>
      <c r="K10" s="5" t="n">
        <v>0</v>
      </c>
      <c r="L10" s="5" t="n">
        <v>0</v>
      </c>
      <c r="M10" s="5" t="n">
        <v>0</v>
      </c>
      <c r="N10" s="5" t="n">
        <v>0</v>
      </c>
      <c r="O10" s="5" t="n">
        <v>0</v>
      </c>
      <c r="P10" s="5" t="n">
        <v>0</v>
      </c>
      <c r="Q10" s="5" t="n">
        <v>0</v>
      </c>
      <c r="R10" s="5" t="n">
        <v>0</v>
      </c>
      <c r="S10" s="5" t="n">
        <v>0</v>
      </c>
      <c r="T10" s="5" t="n">
        <v>0</v>
      </c>
      <c r="U10" s="5" t="n">
        <v>0</v>
      </c>
      <c r="V10" s="5" t="n">
        <v>0</v>
      </c>
      <c r="W10" s="5" t="s">
        <v>795</v>
      </c>
      <c r="X10" s="5" t="n">
        <v>1</v>
      </c>
      <c r="Y10" s="5" t="n">
        <v>0</v>
      </c>
      <c r="Z10" s="5" t="n">
        <v>1</v>
      </c>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n">
        <v>0</v>
      </c>
      <c r="D11" s="5" t="n">
        <v>0</v>
      </c>
      <c r="E11" s="5" t="n">
        <v>0</v>
      </c>
      <c r="F11" s="5" t="n">
        <v>0</v>
      </c>
      <c r="G11" s="5" t="n">
        <v>0</v>
      </c>
      <c r="H11" s="5" t="n">
        <v>0</v>
      </c>
      <c r="I11" s="5" t="n">
        <v>0</v>
      </c>
      <c r="J11" s="5" t="n">
        <v>0</v>
      </c>
      <c r="K11" s="5" t="n">
        <v>0</v>
      </c>
      <c r="L11" s="5" t="n">
        <v>0</v>
      </c>
      <c r="M11" s="5" t="n">
        <v>0</v>
      </c>
      <c r="N11" s="5" t="n">
        <v>0</v>
      </c>
      <c r="O11" s="5" t="n">
        <v>0</v>
      </c>
      <c r="P11" s="5" t="n">
        <v>0</v>
      </c>
      <c r="Q11" s="5" t="n">
        <v>0</v>
      </c>
      <c r="R11" s="5" t="n">
        <v>0</v>
      </c>
      <c r="S11" s="5" t="n">
        <v>0</v>
      </c>
      <c r="T11" s="5" t="n">
        <v>0</v>
      </c>
      <c r="U11" s="5" t="n">
        <v>0</v>
      </c>
      <c r="V11" s="5" t="n">
        <v>0</v>
      </c>
      <c r="W11" s="5" t="s">
        <v>297</v>
      </c>
      <c r="X11" s="5" t="n">
        <v>0</v>
      </c>
      <c r="Y11" s="5" t="n">
        <v>0</v>
      </c>
      <c r="Z11" s="5" t="n">
        <v>1</v>
      </c>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n">
        <v>0</v>
      </c>
      <c r="D12" s="5" t="n">
        <v>0</v>
      </c>
      <c r="E12" s="5" t="n">
        <v>0</v>
      </c>
      <c r="F12" s="5" t="n">
        <v>0</v>
      </c>
      <c r="G12" s="5" t="n">
        <v>0</v>
      </c>
      <c r="H12" s="5" t="n">
        <v>0</v>
      </c>
      <c r="I12" s="5" t="n">
        <v>1</v>
      </c>
      <c r="J12" s="5" t="n">
        <v>0</v>
      </c>
      <c r="K12" s="5" t="n">
        <v>0</v>
      </c>
      <c r="L12" s="5" t="n">
        <v>0</v>
      </c>
      <c r="M12" s="5" t="n">
        <v>0</v>
      </c>
      <c r="N12" s="5" t="n">
        <v>0</v>
      </c>
      <c r="O12" s="5" t="n">
        <v>0</v>
      </c>
      <c r="P12" s="5" t="n">
        <v>0</v>
      </c>
      <c r="Q12" s="5" t="n">
        <v>0</v>
      </c>
      <c r="R12" s="5" t="n">
        <v>0</v>
      </c>
      <c r="S12" s="5" t="n">
        <v>0</v>
      </c>
      <c r="T12" s="5" t="n">
        <v>1</v>
      </c>
      <c r="U12" s="5" t="n">
        <v>0</v>
      </c>
      <c r="V12" s="5" t="n">
        <v>0</v>
      </c>
      <c r="W12" s="5" t="s">
        <v>795</v>
      </c>
      <c r="X12" s="5" t="n">
        <v>1</v>
      </c>
      <c r="Y12" s="5" t="n">
        <v>1</v>
      </c>
      <c r="Z12" s="5" t="n">
        <v>0</v>
      </c>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n">
        <v>0</v>
      </c>
      <c r="D13" s="5" t="n">
        <v>0</v>
      </c>
      <c r="E13" s="5" t="n">
        <v>0</v>
      </c>
      <c r="F13" s="5" t="n">
        <v>0</v>
      </c>
      <c r="G13" s="5" t="n">
        <v>0</v>
      </c>
      <c r="H13" s="5" t="n">
        <v>0</v>
      </c>
      <c r="I13" s="5" t="n">
        <v>1</v>
      </c>
      <c r="J13" s="5" t="n">
        <v>0</v>
      </c>
      <c r="K13" s="5" t="n">
        <v>0</v>
      </c>
      <c r="L13" s="5" t="n">
        <v>0</v>
      </c>
      <c r="M13" s="5" t="n">
        <v>0</v>
      </c>
      <c r="N13" s="5" t="n">
        <v>0</v>
      </c>
      <c r="O13" s="5" t="n">
        <v>0</v>
      </c>
      <c r="P13" s="5" t="n">
        <v>0</v>
      </c>
      <c r="Q13" s="5" t="n">
        <v>0</v>
      </c>
      <c r="R13" s="5" t="n">
        <v>0</v>
      </c>
      <c r="S13" s="5" t="n">
        <v>0</v>
      </c>
      <c r="T13" s="5" t="n">
        <v>0</v>
      </c>
      <c r="U13" s="5" t="n">
        <v>0</v>
      </c>
      <c r="V13" s="5" t="n">
        <v>0</v>
      </c>
      <c r="W13" s="5" t="s">
        <v>795</v>
      </c>
      <c r="X13" s="5" t="n">
        <v>1</v>
      </c>
      <c r="Y13" s="5" t="n">
        <v>1</v>
      </c>
      <c r="Z13" s="5" t="n">
        <v>0</v>
      </c>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23.85" hidden="false" customHeight="false" outlineLevel="0" collapsed="false">
      <c r="A14" s="5" t="n">
        <v>13</v>
      </c>
      <c r="B14" s="5" t="s">
        <v>860</v>
      </c>
      <c r="C14" s="5" t="n">
        <v>1</v>
      </c>
      <c r="D14" s="5" t="n">
        <v>0</v>
      </c>
      <c r="E14" s="5" t="n">
        <v>0</v>
      </c>
      <c r="F14" s="5" t="n">
        <v>1</v>
      </c>
      <c r="G14" s="5" t="n">
        <v>0</v>
      </c>
      <c r="H14" s="5" t="n">
        <v>0</v>
      </c>
      <c r="I14" s="5" t="n">
        <v>0</v>
      </c>
      <c r="J14" s="5" t="n">
        <v>0</v>
      </c>
      <c r="K14" s="5" t="n">
        <v>0</v>
      </c>
      <c r="L14" s="5" t="n">
        <v>0</v>
      </c>
      <c r="M14" s="5" t="n">
        <v>1</v>
      </c>
      <c r="N14" s="5" t="n">
        <v>0</v>
      </c>
      <c r="O14" s="5" t="n">
        <v>0</v>
      </c>
      <c r="P14" s="5" t="n">
        <v>0</v>
      </c>
      <c r="Q14" s="5" t="n">
        <v>0</v>
      </c>
      <c r="R14" s="5" t="n">
        <v>0</v>
      </c>
      <c r="S14" s="5" t="n">
        <v>0</v>
      </c>
      <c r="T14" s="5" t="n">
        <v>0</v>
      </c>
      <c r="U14" s="5" t="n">
        <v>0</v>
      </c>
      <c r="V14" s="5" t="n">
        <v>0</v>
      </c>
      <c r="W14" s="5" t="s">
        <v>795</v>
      </c>
      <c r="X14" s="5" t="n">
        <v>1</v>
      </c>
      <c r="Y14" s="5" t="n">
        <v>0</v>
      </c>
      <c r="Z14" s="5" t="n">
        <v>0</v>
      </c>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23.85" hidden="false" customHeight="false" outlineLevel="0" collapsed="false">
      <c r="A15" s="5" t="n">
        <v>14</v>
      </c>
      <c r="B15" s="5" t="s">
        <v>864</v>
      </c>
      <c r="C15" s="5" t="n">
        <v>0</v>
      </c>
      <c r="D15" s="5" t="n">
        <v>0</v>
      </c>
      <c r="E15" s="5" t="n">
        <v>0</v>
      </c>
      <c r="F15" s="5" t="n">
        <v>0</v>
      </c>
      <c r="G15" s="5" t="n">
        <v>0</v>
      </c>
      <c r="H15" s="5" t="n">
        <v>0</v>
      </c>
      <c r="I15" s="5" t="n">
        <v>1</v>
      </c>
      <c r="J15" s="5" t="n">
        <v>1</v>
      </c>
      <c r="K15" s="5" t="n">
        <v>0</v>
      </c>
      <c r="L15" s="5" t="n">
        <v>0</v>
      </c>
      <c r="M15" s="5" t="n">
        <v>0</v>
      </c>
      <c r="N15" s="5" t="n">
        <v>0</v>
      </c>
      <c r="O15" s="5" t="n">
        <v>0</v>
      </c>
      <c r="P15" s="5" t="n">
        <v>0</v>
      </c>
      <c r="Q15" s="5" t="n">
        <v>0</v>
      </c>
      <c r="R15" s="5" t="n">
        <v>0</v>
      </c>
      <c r="S15" s="5" t="n">
        <v>0</v>
      </c>
      <c r="T15" s="5" t="n">
        <v>1</v>
      </c>
      <c r="U15" s="5" t="n">
        <v>0</v>
      </c>
      <c r="V15" s="5" t="n">
        <v>0</v>
      </c>
      <c r="W15" s="5" t="s">
        <v>795</v>
      </c>
      <c r="X15" s="5" t="n">
        <v>1</v>
      </c>
      <c r="Y15" s="5" t="n">
        <v>1</v>
      </c>
      <c r="Z15" s="5" t="n">
        <v>0</v>
      </c>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n">
        <v>0</v>
      </c>
      <c r="D16" s="5" t="n">
        <v>0</v>
      </c>
      <c r="E16" s="5" t="n">
        <v>0</v>
      </c>
      <c r="F16" s="5" t="n">
        <v>0</v>
      </c>
      <c r="G16" s="5" t="n">
        <v>0</v>
      </c>
      <c r="H16" s="5" t="n">
        <v>0</v>
      </c>
      <c r="I16" s="5" t="n">
        <v>0</v>
      </c>
      <c r="J16" s="5" t="n">
        <v>0</v>
      </c>
      <c r="K16" s="5" t="n">
        <v>0</v>
      </c>
      <c r="L16" s="5" t="n">
        <v>0</v>
      </c>
      <c r="M16" s="5" t="n">
        <v>0</v>
      </c>
      <c r="N16" s="5" t="n">
        <v>0</v>
      </c>
      <c r="O16" s="5" t="n">
        <v>0</v>
      </c>
      <c r="P16" s="5" t="n">
        <v>0</v>
      </c>
      <c r="Q16" s="5" t="n">
        <v>0</v>
      </c>
      <c r="R16" s="5" t="n">
        <v>0</v>
      </c>
      <c r="S16" s="5" t="n">
        <v>1</v>
      </c>
      <c r="T16" s="5" t="n">
        <v>0</v>
      </c>
      <c r="U16" s="5" t="n">
        <v>0</v>
      </c>
      <c r="V16" s="5" t="n">
        <v>0</v>
      </c>
      <c r="W16" s="5" t="s">
        <v>795</v>
      </c>
      <c r="X16" s="5" t="n">
        <v>1</v>
      </c>
      <c r="Y16" s="5" t="n">
        <v>0</v>
      </c>
      <c r="Z16" s="5" t="n">
        <v>1</v>
      </c>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23.85" hidden="false" customHeight="false" outlineLevel="0" collapsed="false">
      <c r="A17" s="5" t="n">
        <v>16</v>
      </c>
      <c r="B17" s="5" t="s">
        <v>869</v>
      </c>
      <c r="C17" s="5" t="n">
        <v>0</v>
      </c>
      <c r="D17" s="5" t="n">
        <v>0</v>
      </c>
      <c r="E17" s="5" t="n">
        <v>0</v>
      </c>
      <c r="F17" s="5" t="n">
        <v>0</v>
      </c>
      <c r="G17" s="5" t="n">
        <v>0</v>
      </c>
      <c r="H17" s="5" t="n">
        <v>0</v>
      </c>
      <c r="I17" s="5" t="n">
        <v>0</v>
      </c>
      <c r="J17" s="5" t="n">
        <v>0</v>
      </c>
      <c r="K17" s="5" t="n">
        <v>0</v>
      </c>
      <c r="L17" s="5" t="n">
        <v>0</v>
      </c>
      <c r="M17" s="5" t="n">
        <v>0</v>
      </c>
      <c r="N17" s="5" t="n">
        <v>0</v>
      </c>
      <c r="O17" s="5" t="n">
        <v>0</v>
      </c>
      <c r="P17" s="5" t="n">
        <v>0</v>
      </c>
      <c r="Q17" s="5" t="n">
        <v>0</v>
      </c>
      <c r="R17" s="5" t="n">
        <v>0</v>
      </c>
      <c r="S17" s="5" t="n">
        <v>0</v>
      </c>
      <c r="T17" s="5" t="n">
        <v>0</v>
      </c>
      <c r="U17" s="5" t="n">
        <v>0</v>
      </c>
      <c r="V17" s="5" t="n">
        <v>0</v>
      </c>
      <c r="W17" s="5" t="s">
        <v>870</v>
      </c>
      <c r="X17" s="5" t="n">
        <v>0</v>
      </c>
      <c r="Y17" s="5" t="n">
        <v>1</v>
      </c>
      <c r="Z17" s="5" t="n">
        <v>1</v>
      </c>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n">
        <v>1</v>
      </c>
      <c r="D18" s="5" t="n">
        <v>0</v>
      </c>
      <c r="E18" s="5" t="n">
        <v>0</v>
      </c>
      <c r="F18" s="5" t="n">
        <v>0</v>
      </c>
      <c r="G18" s="5" t="n">
        <v>0</v>
      </c>
      <c r="H18" s="5" t="n">
        <v>0</v>
      </c>
      <c r="I18" s="5" t="n">
        <v>0</v>
      </c>
      <c r="J18" s="5" t="n">
        <v>0</v>
      </c>
      <c r="K18" s="5" t="n">
        <v>0</v>
      </c>
      <c r="L18" s="5" t="n">
        <v>0</v>
      </c>
      <c r="M18" s="5" t="n">
        <v>0</v>
      </c>
      <c r="N18" s="5" t="n">
        <v>0</v>
      </c>
      <c r="O18" s="5" t="n">
        <v>0</v>
      </c>
      <c r="P18" s="5" t="n">
        <v>0</v>
      </c>
      <c r="Q18" s="5" t="n">
        <v>0</v>
      </c>
      <c r="R18" s="5" t="n">
        <v>0</v>
      </c>
      <c r="S18" s="5" t="n">
        <v>0</v>
      </c>
      <c r="T18" s="5" t="n">
        <v>0</v>
      </c>
      <c r="U18" s="5" t="n">
        <v>0</v>
      </c>
      <c r="V18" s="5" t="n">
        <v>0</v>
      </c>
      <c r="W18" s="5" t="s">
        <v>795</v>
      </c>
      <c r="X18" s="5" t="n">
        <v>1</v>
      </c>
      <c r="Y18" s="5" t="n">
        <v>0</v>
      </c>
      <c r="Z18" s="5" t="n">
        <v>1</v>
      </c>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n">
        <v>1</v>
      </c>
      <c r="D19" s="5" t="n">
        <v>0</v>
      </c>
      <c r="E19" s="5" t="n">
        <v>0</v>
      </c>
      <c r="F19" s="5" t="n">
        <v>1</v>
      </c>
      <c r="G19" s="5" t="n">
        <v>0</v>
      </c>
      <c r="H19" s="5" t="n">
        <v>0</v>
      </c>
      <c r="I19" s="5" t="n">
        <v>0</v>
      </c>
      <c r="J19" s="5" t="n">
        <v>0</v>
      </c>
      <c r="K19" s="5" t="n">
        <v>0</v>
      </c>
      <c r="L19" s="5" t="n">
        <v>0</v>
      </c>
      <c r="M19" s="5" t="n">
        <v>0</v>
      </c>
      <c r="N19" s="5" t="n">
        <v>0</v>
      </c>
      <c r="O19" s="5" t="n">
        <v>0</v>
      </c>
      <c r="P19" s="5" t="n">
        <v>0</v>
      </c>
      <c r="Q19" s="5" t="n">
        <v>0</v>
      </c>
      <c r="R19" s="5" t="n">
        <v>0</v>
      </c>
      <c r="S19" s="5" t="n">
        <v>0</v>
      </c>
      <c r="T19" s="5" t="n">
        <v>0</v>
      </c>
      <c r="U19" s="5" t="n">
        <v>0</v>
      </c>
      <c r="V19" s="5" t="n">
        <v>0</v>
      </c>
      <c r="W19" s="5" t="s">
        <v>795</v>
      </c>
      <c r="X19" s="5" t="n">
        <v>1</v>
      </c>
      <c r="Y19" s="5" t="n">
        <v>0</v>
      </c>
      <c r="Z19" s="5" t="n">
        <v>1</v>
      </c>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23.85" hidden="false" customHeight="false" outlineLevel="0" collapsed="false">
      <c r="A20" s="5" t="n">
        <v>19</v>
      </c>
      <c r="B20" s="5" t="s">
        <v>882</v>
      </c>
      <c r="C20" s="5" t="n">
        <v>0</v>
      </c>
      <c r="D20" s="5" t="n">
        <v>0</v>
      </c>
      <c r="E20" s="5" t="n">
        <v>0</v>
      </c>
      <c r="F20" s="5" t="n">
        <v>1</v>
      </c>
      <c r="G20" s="5" t="n">
        <v>0</v>
      </c>
      <c r="H20" s="5" t="n">
        <v>0</v>
      </c>
      <c r="I20" s="5" t="n">
        <v>0</v>
      </c>
      <c r="J20" s="5" t="n">
        <v>0</v>
      </c>
      <c r="K20" s="5" t="n">
        <v>0</v>
      </c>
      <c r="L20" s="5" t="n">
        <v>0</v>
      </c>
      <c r="M20" s="5" t="n">
        <v>0</v>
      </c>
      <c r="N20" s="5" t="n">
        <v>0</v>
      </c>
      <c r="O20" s="5" t="n">
        <v>0</v>
      </c>
      <c r="P20" s="5" t="n">
        <v>0</v>
      </c>
      <c r="Q20" s="5" t="n">
        <v>0</v>
      </c>
      <c r="R20" s="5" t="n">
        <v>0</v>
      </c>
      <c r="S20" s="5" t="n">
        <v>0</v>
      </c>
      <c r="T20" s="5" t="n">
        <v>0</v>
      </c>
      <c r="U20" s="5" t="n">
        <v>0</v>
      </c>
      <c r="V20" s="5" t="n">
        <v>0</v>
      </c>
      <c r="W20" s="5" t="s">
        <v>795</v>
      </c>
      <c r="X20" s="5" t="n">
        <v>1</v>
      </c>
      <c r="Y20" s="5" t="n">
        <v>0</v>
      </c>
      <c r="Z20" s="5" t="n">
        <v>1</v>
      </c>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n">
        <v>1</v>
      </c>
      <c r="D21" s="5" t="n">
        <v>0</v>
      </c>
      <c r="E21" s="5" t="n">
        <v>0</v>
      </c>
      <c r="F21" s="5" t="n">
        <v>0</v>
      </c>
      <c r="G21" s="5" t="n">
        <v>0</v>
      </c>
      <c r="H21" s="5" t="n">
        <v>0</v>
      </c>
      <c r="I21" s="5" t="n">
        <v>1</v>
      </c>
      <c r="J21" s="5" t="n">
        <v>1</v>
      </c>
      <c r="K21" s="5" t="n">
        <v>0</v>
      </c>
      <c r="L21" s="5" t="n">
        <v>0</v>
      </c>
      <c r="M21" s="5" t="n">
        <v>0</v>
      </c>
      <c r="N21" s="5" t="n">
        <v>0</v>
      </c>
      <c r="O21" s="5" t="n">
        <v>0</v>
      </c>
      <c r="P21" s="5" t="n">
        <v>0</v>
      </c>
      <c r="Q21" s="5" t="n">
        <v>0</v>
      </c>
      <c r="R21" s="5" t="n">
        <v>0</v>
      </c>
      <c r="S21" s="5" t="n">
        <v>0</v>
      </c>
      <c r="T21" s="5" t="n">
        <v>1</v>
      </c>
      <c r="U21" s="5" t="n">
        <v>0</v>
      </c>
      <c r="V21" s="5" t="n">
        <v>0</v>
      </c>
      <c r="W21" s="5" t="s">
        <v>795</v>
      </c>
      <c r="X21" s="5" t="n">
        <v>1</v>
      </c>
      <c r="Y21" s="5" t="n">
        <v>1</v>
      </c>
      <c r="Z21" s="5" t="n">
        <v>0</v>
      </c>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23.85" hidden="false" customHeight="false" outlineLevel="0" collapsed="false">
      <c r="A22" s="5" t="n">
        <v>21</v>
      </c>
      <c r="B22" s="5" t="s">
        <v>102</v>
      </c>
      <c r="C22" s="5" t="n">
        <v>0</v>
      </c>
      <c r="D22" s="5" t="n">
        <v>0</v>
      </c>
      <c r="E22" s="5" t="n">
        <v>0</v>
      </c>
      <c r="F22" s="5" t="n">
        <v>0</v>
      </c>
      <c r="G22" s="5" t="n">
        <v>0</v>
      </c>
      <c r="H22" s="5" t="n">
        <v>0</v>
      </c>
      <c r="I22" s="5" t="n">
        <v>1</v>
      </c>
      <c r="J22" s="5" t="n">
        <v>1</v>
      </c>
      <c r="K22" s="5" t="n">
        <v>1</v>
      </c>
      <c r="L22" s="5" t="n">
        <v>0</v>
      </c>
      <c r="M22" s="5" t="n">
        <v>1</v>
      </c>
      <c r="N22" s="5" t="n">
        <v>0</v>
      </c>
      <c r="O22" s="5" t="n">
        <v>0</v>
      </c>
      <c r="P22" s="5" t="n">
        <v>0</v>
      </c>
      <c r="Q22" s="5" t="n">
        <v>0</v>
      </c>
      <c r="R22" s="5" t="n">
        <v>0</v>
      </c>
      <c r="S22" s="5" t="n">
        <v>0</v>
      </c>
      <c r="T22" s="5" t="n">
        <v>0</v>
      </c>
      <c r="U22" s="5" t="n">
        <v>0</v>
      </c>
      <c r="V22" s="5" t="n">
        <v>0</v>
      </c>
      <c r="W22" s="5" t="s">
        <v>795</v>
      </c>
      <c r="X22" s="5" t="n">
        <v>1</v>
      </c>
      <c r="Y22" s="5" t="n">
        <v>1</v>
      </c>
      <c r="Z22" s="5" t="n">
        <v>0</v>
      </c>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23.85" hidden="false" customHeight="false" outlineLevel="0" collapsed="false">
      <c r="A23" s="5" t="n">
        <v>22</v>
      </c>
      <c r="B23" s="5" t="s">
        <v>892</v>
      </c>
      <c r="C23" s="5" t="n">
        <v>1</v>
      </c>
      <c r="D23" s="5" t="n">
        <v>0</v>
      </c>
      <c r="E23" s="5" t="n">
        <v>0</v>
      </c>
      <c r="F23" s="5" t="n">
        <v>0</v>
      </c>
      <c r="G23" s="5" t="n">
        <v>0</v>
      </c>
      <c r="H23" s="5" t="n">
        <v>0</v>
      </c>
      <c r="I23" s="5" t="n">
        <v>1</v>
      </c>
      <c r="J23" s="5" t="n">
        <v>1</v>
      </c>
      <c r="K23" s="5" t="n">
        <v>1</v>
      </c>
      <c r="L23" s="5" t="n">
        <v>0</v>
      </c>
      <c r="M23" s="5" t="n">
        <v>0</v>
      </c>
      <c r="N23" s="5" t="n">
        <v>0</v>
      </c>
      <c r="O23" s="5" t="n">
        <v>0</v>
      </c>
      <c r="P23" s="5" t="n">
        <v>0</v>
      </c>
      <c r="Q23" s="5" t="n">
        <v>0</v>
      </c>
      <c r="R23" s="5" t="n">
        <v>0</v>
      </c>
      <c r="S23" s="5" t="n">
        <v>0</v>
      </c>
      <c r="T23" s="5" t="n">
        <v>0</v>
      </c>
      <c r="U23" s="5" t="n">
        <v>0</v>
      </c>
      <c r="V23" s="5" t="n">
        <v>0</v>
      </c>
      <c r="W23" s="5" t="s">
        <v>795</v>
      </c>
      <c r="X23" s="5" t="n">
        <v>1</v>
      </c>
      <c r="Y23" s="5" t="n">
        <v>1</v>
      </c>
      <c r="Z23" s="5" t="n">
        <v>0</v>
      </c>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n">
        <v>1</v>
      </c>
      <c r="D24" s="5" t="n">
        <v>0</v>
      </c>
      <c r="E24" s="5" t="n">
        <v>0</v>
      </c>
      <c r="F24" s="5" t="n">
        <v>1</v>
      </c>
      <c r="G24" s="5" t="n">
        <v>0</v>
      </c>
      <c r="H24" s="5" t="n">
        <v>0</v>
      </c>
      <c r="I24" s="5" t="n">
        <v>0</v>
      </c>
      <c r="J24" s="5" t="n">
        <v>0</v>
      </c>
      <c r="K24" s="5" t="n">
        <v>0</v>
      </c>
      <c r="L24" s="5" t="n">
        <v>0</v>
      </c>
      <c r="M24" s="5" t="n">
        <v>0</v>
      </c>
      <c r="N24" s="5" t="n">
        <v>0</v>
      </c>
      <c r="O24" s="5" t="n">
        <v>0</v>
      </c>
      <c r="P24" s="5" t="n">
        <v>0</v>
      </c>
      <c r="Q24" s="5" t="n">
        <v>0</v>
      </c>
      <c r="R24" s="5" t="n">
        <v>0</v>
      </c>
      <c r="S24" s="5" t="n">
        <v>0</v>
      </c>
      <c r="T24" s="5" t="n">
        <v>0</v>
      </c>
      <c r="U24" s="5" t="n">
        <v>0</v>
      </c>
      <c r="V24" s="5" t="n">
        <v>0</v>
      </c>
      <c r="W24" s="5" t="s">
        <v>795</v>
      </c>
      <c r="X24" s="5" t="n">
        <v>1</v>
      </c>
      <c r="Y24" s="5" t="n">
        <v>0</v>
      </c>
      <c r="Z24" s="5" t="n">
        <v>1</v>
      </c>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n">
        <v>1</v>
      </c>
      <c r="D25" s="5" t="n">
        <v>0</v>
      </c>
      <c r="E25" s="5" t="n">
        <v>0</v>
      </c>
      <c r="F25" s="5" t="n">
        <v>0</v>
      </c>
      <c r="G25" s="5" t="n">
        <v>0</v>
      </c>
      <c r="H25" s="5" t="n">
        <v>0</v>
      </c>
      <c r="I25" s="5" t="n">
        <v>0</v>
      </c>
      <c r="J25" s="5" t="n">
        <v>0</v>
      </c>
      <c r="K25" s="5" t="n">
        <v>0</v>
      </c>
      <c r="L25" s="5" t="n">
        <v>0</v>
      </c>
      <c r="M25" s="5" t="n">
        <v>1</v>
      </c>
      <c r="N25" s="5" t="n">
        <v>0</v>
      </c>
      <c r="O25" s="5" t="n">
        <v>0</v>
      </c>
      <c r="P25" s="5" t="n">
        <v>0</v>
      </c>
      <c r="Q25" s="5" t="n">
        <v>0</v>
      </c>
      <c r="R25" s="5" t="n">
        <v>0</v>
      </c>
      <c r="S25" s="5" t="n">
        <v>0</v>
      </c>
      <c r="T25" s="5" t="n">
        <v>0</v>
      </c>
      <c r="U25" s="5" t="n">
        <v>0</v>
      </c>
      <c r="V25" s="5" t="n">
        <v>0</v>
      </c>
      <c r="W25" s="5" t="s">
        <v>835</v>
      </c>
      <c r="X25" s="5" t="n">
        <v>0</v>
      </c>
      <c r="Y25" s="5" t="n">
        <v>0</v>
      </c>
      <c r="Z25" s="5" t="n">
        <v>0</v>
      </c>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23.85" hidden="false" customHeight="false" outlineLevel="0" collapsed="false">
      <c r="A26" s="5" t="n">
        <v>25</v>
      </c>
      <c r="B26" s="5" t="s">
        <v>902</v>
      </c>
      <c r="C26" s="5" t="n">
        <v>0</v>
      </c>
      <c r="D26" s="5" t="n">
        <v>1</v>
      </c>
      <c r="E26" s="5" t="n">
        <v>0</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c r="U26" s="5" t="n">
        <v>0</v>
      </c>
      <c r="V26" s="5" t="n">
        <v>0</v>
      </c>
      <c r="W26" s="5" t="s">
        <v>795</v>
      </c>
      <c r="X26" s="5" t="n">
        <v>1</v>
      </c>
      <c r="Y26" s="5" t="n">
        <v>0</v>
      </c>
      <c r="Z26" s="5" t="n">
        <v>1</v>
      </c>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23.85" hidden="false" customHeight="false" outlineLevel="0" collapsed="false">
      <c r="A27" s="5" t="n">
        <v>26</v>
      </c>
      <c r="B27" s="5" t="s">
        <v>906</v>
      </c>
      <c r="C27" s="5" t="n">
        <v>0</v>
      </c>
      <c r="D27" s="5" t="n">
        <v>0</v>
      </c>
      <c r="E27" s="5" t="n">
        <v>1</v>
      </c>
      <c r="F27" s="5" t="n">
        <v>0</v>
      </c>
      <c r="G27" s="5" t="n">
        <v>0</v>
      </c>
      <c r="H27" s="5" t="n">
        <v>0</v>
      </c>
      <c r="I27" s="5" t="n">
        <v>0</v>
      </c>
      <c r="J27" s="5" t="n">
        <v>0</v>
      </c>
      <c r="K27" s="5" t="n">
        <v>0</v>
      </c>
      <c r="L27" s="5" t="n">
        <v>0</v>
      </c>
      <c r="M27" s="5" t="n">
        <v>1</v>
      </c>
      <c r="N27" s="5" t="n">
        <v>0</v>
      </c>
      <c r="O27" s="5" t="n">
        <v>0</v>
      </c>
      <c r="P27" s="5" t="n">
        <v>0</v>
      </c>
      <c r="Q27" s="5" t="n">
        <v>0</v>
      </c>
      <c r="R27" s="5" t="n">
        <v>0</v>
      </c>
      <c r="S27" s="5" t="n">
        <v>0</v>
      </c>
      <c r="T27" s="5" t="n">
        <v>0</v>
      </c>
      <c r="U27" s="5" t="n">
        <v>0</v>
      </c>
      <c r="V27" s="5" t="n">
        <v>0</v>
      </c>
      <c r="W27" s="5" t="s">
        <v>795</v>
      </c>
      <c r="X27" s="5" t="n">
        <v>1</v>
      </c>
      <c r="Y27" s="5" t="n">
        <v>0</v>
      </c>
      <c r="Z27" s="5" t="n">
        <v>1</v>
      </c>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23.85" hidden="false" customHeight="false" outlineLevel="0" collapsed="false">
      <c r="A28" s="5" t="n">
        <v>27</v>
      </c>
      <c r="B28" s="5" t="s">
        <v>115</v>
      </c>
      <c r="C28" s="5" t="n">
        <v>1</v>
      </c>
      <c r="D28" s="5" t="n">
        <v>0</v>
      </c>
      <c r="E28" s="5" t="n">
        <v>0</v>
      </c>
      <c r="F28" s="5" t="n">
        <v>0</v>
      </c>
      <c r="G28" s="5" t="n">
        <v>0</v>
      </c>
      <c r="H28" s="5" t="n">
        <v>0</v>
      </c>
      <c r="I28" s="5" t="n">
        <v>1</v>
      </c>
      <c r="J28" s="5" t="n">
        <v>1</v>
      </c>
      <c r="K28" s="5" t="n">
        <v>1</v>
      </c>
      <c r="L28" s="5" t="n">
        <v>0</v>
      </c>
      <c r="M28" s="5" t="n">
        <v>0</v>
      </c>
      <c r="N28" s="5" t="n">
        <v>0</v>
      </c>
      <c r="O28" s="5" t="n">
        <v>0</v>
      </c>
      <c r="P28" s="5" t="n">
        <v>0</v>
      </c>
      <c r="Q28" s="5" t="n">
        <v>0</v>
      </c>
      <c r="R28" s="5" t="n">
        <v>0</v>
      </c>
      <c r="S28" s="5" t="n">
        <v>0</v>
      </c>
      <c r="T28" s="5" t="n">
        <v>0</v>
      </c>
      <c r="U28" s="5" t="n">
        <v>0</v>
      </c>
      <c r="V28" s="5" t="n">
        <v>0</v>
      </c>
      <c r="W28" s="5" t="s">
        <v>795</v>
      </c>
      <c r="X28" s="5" t="n">
        <v>1</v>
      </c>
      <c r="Y28" s="5" t="n">
        <v>1</v>
      </c>
      <c r="Z28" s="5" t="n">
        <v>0</v>
      </c>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23.85" hidden="false" customHeight="false" outlineLevel="0" collapsed="false">
      <c r="A29" s="5" t="n">
        <v>28</v>
      </c>
      <c r="B29" s="5" t="s">
        <v>914</v>
      </c>
      <c r="C29" s="5" t="n">
        <v>0</v>
      </c>
      <c r="D29" s="5" t="n">
        <v>0</v>
      </c>
      <c r="E29" s="5" t="n">
        <v>0</v>
      </c>
      <c r="F29" s="5" t="n">
        <v>0</v>
      </c>
      <c r="G29" s="5" t="n">
        <v>0</v>
      </c>
      <c r="H29" s="5" t="n">
        <v>1</v>
      </c>
      <c r="I29" s="5" t="n">
        <v>1</v>
      </c>
      <c r="J29" s="5" t="n">
        <v>0</v>
      </c>
      <c r="K29" s="5" t="n">
        <v>0</v>
      </c>
      <c r="L29" s="5" t="n">
        <v>0</v>
      </c>
      <c r="M29" s="5" t="n">
        <v>0</v>
      </c>
      <c r="N29" s="5" t="n">
        <v>1</v>
      </c>
      <c r="O29" s="5" t="n">
        <v>0</v>
      </c>
      <c r="P29" s="5" t="n">
        <v>0</v>
      </c>
      <c r="Q29" s="5" t="n">
        <v>0</v>
      </c>
      <c r="R29" s="5" t="n">
        <v>0</v>
      </c>
      <c r="S29" s="5" t="n">
        <v>0</v>
      </c>
      <c r="T29" s="5" t="n">
        <v>0</v>
      </c>
      <c r="U29" s="5" t="n">
        <v>0</v>
      </c>
      <c r="V29" s="5" t="n">
        <v>1</v>
      </c>
      <c r="W29" s="5" t="s">
        <v>795</v>
      </c>
      <c r="X29" s="5" t="n">
        <v>1</v>
      </c>
      <c r="Y29" s="5" t="n">
        <v>1</v>
      </c>
      <c r="Z29" s="5" t="n">
        <v>0</v>
      </c>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n">
        <v>0</v>
      </c>
      <c r="D30" s="5" t="n">
        <v>0</v>
      </c>
      <c r="E30" s="5" t="n">
        <v>0</v>
      </c>
      <c r="F30" s="5" t="n">
        <v>0</v>
      </c>
      <c r="G30" s="5" t="n">
        <v>0</v>
      </c>
      <c r="H30" s="5" t="n">
        <v>0</v>
      </c>
      <c r="I30" s="5" t="n">
        <v>1</v>
      </c>
      <c r="J30" s="5" t="n">
        <v>1</v>
      </c>
      <c r="K30" s="5" t="n">
        <v>0</v>
      </c>
      <c r="L30" s="5" t="n">
        <v>1</v>
      </c>
      <c r="M30" s="5" t="n">
        <v>0</v>
      </c>
      <c r="N30" s="5" t="n">
        <v>0</v>
      </c>
      <c r="O30" s="5" t="n">
        <v>0</v>
      </c>
      <c r="P30" s="5" t="n">
        <v>0</v>
      </c>
      <c r="Q30" s="5" t="n">
        <v>0</v>
      </c>
      <c r="R30" s="5" t="n">
        <v>0</v>
      </c>
      <c r="S30" s="5" t="n">
        <v>0</v>
      </c>
      <c r="T30" s="5" t="n">
        <v>0</v>
      </c>
      <c r="U30" s="5" t="n">
        <v>0</v>
      </c>
      <c r="V30" s="5" t="n">
        <v>0</v>
      </c>
      <c r="W30" s="5" t="s">
        <v>795</v>
      </c>
      <c r="X30" s="5" t="n">
        <v>1</v>
      </c>
      <c r="Y30" s="5" t="n">
        <v>1</v>
      </c>
      <c r="Z30" s="5" t="n">
        <v>1</v>
      </c>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n">
        <v>0</v>
      </c>
      <c r="D31" s="5" t="n">
        <v>1</v>
      </c>
      <c r="E31" s="5" t="n">
        <v>0</v>
      </c>
      <c r="F31" s="5" t="n">
        <v>0</v>
      </c>
      <c r="G31" s="5" t="n">
        <v>0</v>
      </c>
      <c r="H31" s="5" t="n">
        <v>0</v>
      </c>
      <c r="I31" s="5" t="n">
        <v>0</v>
      </c>
      <c r="J31" s="5" t="n">
        <v>0</v>
      </c>
      <c r="K31" s="5" t="n">
        <v>0</v>
      </c>
      <c r="L31" s="5" t="n">
        <v>0</v>
      </c>
      <c r="M31" s="5" t="n">
        <v>0</v>
      </c>
      <c r="N31" s="5" t="n">
        <v>0</v>
      </c>
      <c r="O31" s="5" t="n">
        <v>0</v>
      </c>
      <c r="P31" s="5" t="n">
        <v>0</v>
      </c>
      <c r="Q31" s="5" t="n">
        <v>0</v>
      </c>
      <c r="R31" s="5" t="n">
        <v>0</v>
      </c>
      <c r="S31" s="5" t="n">
        <v>0</v>
      </c>
      <c r="T31" s="5" t="n">
        <v>0</v>
      </c>
      <c r="U31" s="5" t="n">
        <v>0</v>
      </c>
      <c r="V31" s="5" t="n">
        <v>0</v>
      </c>
      <c r="W31" s="5" t="s">
        <v>795</v>
      </c>
      <c r="X31" s="5" t="n">
        <v>1</v>
      </c>
      <c r="Y31" s="5" t="n">
        <v>0</v>
      </c>
      <c r="Z31" s="5" t="n">
        <v>1</v>
      </c>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n">
        <v>1</v>
      </c>
      <c r="D32" s="5" t="n">
        <v>0</v>
      </c>
      <c r="E32" s="5" t="n">
        <v>1</v>
      </c>
      <c r="F32" s="5" t="n">
        <v>0</v>
      </c>
      <c r="G32" s="5" t="n">
        <v>0</v>
      </c>
      <c r="H32" s="5" t="n">
        <v>0</v>
      </c>
      <c r="I32" s="5" t="n">
        <v>0</v>
      </c>
      <c r="J32" s="5" t="n">
        <v>0</v>
      </c>
      <c r="K32" s="5" t="n">
        <v>0</v>
      </c>
      <c r="L32" s="5" t="n">
        <v>0</v>
      </c>
      <c r="M32" s="5" t="n">
        <v>0</v>
      </c>
      <c r="N32" s="5" t="n">
        <v>0</v>
      </c>
      <c r="O32" s="5" t="n">
        <v>0</v>
      </c>
      <c r="P32" s="5" t="n">
        <v>0</v>
      </c>
      <c r="Q32" s="5" t="n">
        <v>0</v>
      </c>
      <c r="R32" s="5" t="n">
        <v>0</v>
      </c>
      <c r="S32" s="5" t="n">
        <v>0</v>
      </c>
      <c r="T32" s="5" t="n">
        <v>0</v>
      </c>
      <c r="U32" s="5" t="n">
        <v>0</v>
      </c>
      <c r="V32" s="5" t="n">
        <v>0</v>
      </c>
      <c r="W32" s="5" t="s">
        <v>795</v>
      </c>
      <c r="X32" s="5" t="n">
        <v>1</v>
      </c>
      <c r="Y32" s="5" t="n">
        <v>0</v>
      </c>
      <c r="Z32" s="5" t="n">
        <v>1</v>
      </c>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23.85" hidden="false" customHeight="false" outlineLevel="0" collapsed="false">
      <c r="A33" s="5" t="n">
        <v>32</v>
      </c>
      <c r="B33" s="5" t="s">
        <v>928</v>
      </c>
      <c r="C33" s="5" t="n">
        <v>1</v>
      </c>
      <c r="D33" s="5" t="n">
        <v>0</v>
      </c>
      <c r="E33" s="5" t="n">
        <v>0</v>
      </c>
      <c r="F33" s="5" t="n">
        <v>0</v>
      </c>
      <c r="G33" s="5" t="n">
        <v>0</v>
      </c>
      <c r="H33" s="5" t="n">
        <v>0</v>
      </c>
      <c r="I33" s="5" t="n">
        <v>0</v>
      </c>
      <c r="J33" s="5" t="n">
        <v>0</v>
      </c>
      <c r="K33" s="5" t="n">
        <v>0</v>
      </c>
      <c r="L33" s="5" t="n">
        <v>0</v>
      </c>
      <c r="M33" s="5" t="n">
        <v>1</v>
      </c>
      <c r="N33" s="5" t="n">
        <v>0</v>
      </c>
      <c r="O33" s="5" t="n">
        <v>0</v>
      </c>
      <c r="P33" s="5" t="n">
        <v>0</v>
      </c>
      <c r="Q33" s="5" t="n">
        <v>0</v>
      </c>
      <c r="R33" s="5" t="n">
        <v>0</v>
      </c>
      <c r="S33" s="5" t="n">
        <v>0</v>
      </c>
      <c r="T33" s="5" t="n">
        <v>0</v>
      </c>
      <c r="U33" s="5" t="n">
        <v>0</v>
      </c>
      <c r="V33" s="5" t="n">
        <v>0</v>
      </c>
      <c r="W33" s="5" t="s">
        <v>795</v>
      </c>
      <c r="X33" s="5" t="n">
        <v>1</v>
      </c>
      <c r="Y33" s="5" t="n">
        <v>0</v>
      </c>
      <c r="Z33" s="5" t="n">
        <v>0</v>
      </c>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n">
        <v>1</v>
      </c>
      <c r="D34" s="5" t="n">
        <v>0</v>
      </c>
      <c r="E34" s="5" t="n">
        <v>0</v>
      </c>
      <c r="F34" s="5" t="n">
        <v>1</v>
      </c>
      <c r="G34" s="5" t="n">
        <v>0</v>
      </c>
      <c r="H34" s="5" t="n">
        <v>0</v>
      </c>
      <c r="I34" s="5" t="n">
        <v>0</v>
      </c>
      <c r="J34" s="5" t="n">
        <v>0</v>
      </c>
      <c r="K34" s="5" t="n">
        <v>0</v>
      </c>
      <c r="L34" s="5" t="n">
        <v>0</v>
      </c>
      <c r="M34" s="5" t="n">
        <v>1</v>
      </c>
      <c r="N34" s="5" t="n">
        <v>0</v>
      </c>
      <c r="O34" s="5" t="n">
        <v>0</v>
      </c>
      <c r="P34" s="5" t="n">
        <v>0</v>
      </c>
      <c r="Q34" s="5" t="n">
        <v>0</v>
      </c>
      <c r="R34" s="5" t="n">
        <v>0</v>
      </c>
      <c r="S34" s="5" t="n">
        <v>0</v>
      </c>
      <c r="T34" s="5" t="n">
        <v>0</v>
      </c>
      <c r="U34" s="5" t="n">
        <v>0</v>
      </c>
      <c r="V34" s="5" t="n">
        <v>0</v>
      </c>
      <c r="W34" s="5" t="s">
        <v>795</v>
      </c>
      <c r="X34" s="5" t="n">
        <v>1</v>
      </c>
      <c r="Y34" s="5" t="n">
        <v>0</v>
      </c>
      <c r="Z34" s="5" t="n">
        <v>0</v>
      </c>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n">
        <v>0</v>
      </c>
      <c r="D35" s="5" t="n">
        <v>0</v>
      </c>
      <c r="E35" s="5" t="n">
        <v>0</v>
      </c>
      <c r="F35" s="5" t="n">
        <v>0</v>
      </c>
      <c r="G35" s="5" t="n">
        <v>0</v>
      </c>
      <c r="H35" s="5" t="n">
        <v>0</v>
      </c>
      <c r="I35" s="5" t="n">
        <v>1</v>
      </c>
      <c r="J35" s="5" t="n">
        <v>1</v>
      </c>
      <c r="K35" s="5" t="n">
        <v>0</v>
      </c>
      <c r="L35" s="5" t="n">
        <v>0</v>
      </c>
      <c r="M35" s="5" t="n">
        <v>0</v>
      </c>
      <c r="N35" s="5" t="n">
        <v>0</v>
      </c>
      <c r="O35" s="5" t="n">
        <v>0</v>
      </c>
      <c r="P35" s="5" t="n">
        <v>0</v>
      </c>
      <c r="Q35" s="5" t="n">
        <v>0</v>
      </c>
      <c r="R35" s="5" t="n">
        <v>0</v>
      </c>
      <c r="S35" s="5" t="n">
        <v>0</v>
      </c>
      <c r="T35" s="5" t="n">
        <v>0</v>
      </c>
      <c r="U35" s="5" t="n">
        <v>0</v>
      </c>
      <c r="V35" s="5" t="n">
        <v>0</v>
      </c>
      <c r="W35" s="5" t="s">
        <v>795</v>
      </c>
      <c r="X35" s="5" t="n">
        <v>1</v>
      </c>
      <c r="Y35" s="5" t="n">
        <v>1</v>
      </c>
      <c r="Z35" s="5" t="n">
        <v>0</v>
      </c>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15" hidden="false" customHeight="false" outlineLevel="0" collapsed="false">
      <c r="A36" s="5" t="n">
        <v>35</v>
      </c>
      <c r="B36" s="5" t="s">
        <v>132</v>
      </c>
      <c r="C36" s="5" t="n">
        <v>0</v>
      </c>
      <c r="D36" s="5" t="n">
        <v>0</v>
      </c>
      <c r="E36" s="5" t="n">
        <v>0</v>
      </c>
      <c r="F36" s="5" t="n">
        <v>0</v>
      </c>
      <c r="G36" s="5" t="n">
        <v>0</v>
      </c>
      <c r="H36" s="5" t="n">
        <v>0</v>
      </c>
      <c r="I36" s="5" t="n">
        <v>0</v>
      </c>
      <c r="J36" s="5" t="n">
        <v>0</v>
      </c>
      <c r="K36" s="5" t="n">
        <v>0</v>
      </c>
      <c r="L36" s="5" t="n">
        <v>0</v>
      </c>
      <c r="M36" s="5" t="n">
        <v>0</v>
      </c>
      <c r="N36" s="5" t="n">
        <v>0</v>
      </c>
      <c r="O36" s="5" t="n">
        <v>0</v>
      </c>
      <c r="P36" s="5" t="n">
        <v>0</v>
      </c>
      <c r="Q36" s="5" t="n">
        <v>0</v>
      </c>
      <c r="R36" s="5" t="n">
        <v>0</v>
      </c>
      <c r="S36" s="5" t="n">
        <v>0</v>
      </c>
      <c r="T36" s="5" t="n">
        <v>0</v>
      </c>
      <c r="U36" s="5" t="n">
        <v>0</v>
      </c>
      <c r="V36" s="5" t="n">
        <v>0</v>
      </c>
      <c r="W36" s="5" t="s">
        <v>835</v>
      </c>
      <c r="X36" s="5" t="n">
        <v>0</v>
      </c>
      <c r="Y36" s="5" t="n">
        <v>1</v>
      </c>
      <c r="Z36" s="5" t="n">
        <v>0</v>
      </c>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23.85" hidden="false" customHeight="false" outlineLevel="0" collapsed="false">
      <c r="A37" s="5" t="n">
        <v>36</v>
      </c>
      <c r="B37" s="5" t="s">
        <v>134</v>
      </c>
      <c r="C37" s="5" t="n">
        <v>0</v>
      </c>
      <c r="D37" s="5" t="n">
        <v>0</v>
      </c>
      <c r="E37" s="5" t="n">
        <v>1</v>
      </c>
      <c r="F37" s="5" t="n">
        <v>0</v>
      </c>
      <c r="G37" s="5" t="n">
        <v>0</v>
      </c>
      <c r="H37" s="5" t="n">
        <v>0</v>
      </c>
      <c r="I37" s="5" t="n">
        <v>0</v>
      </c>
      <c r="J37" s="5" t="n">
        <v>0</v>
      </c>
      <c r="K37" s="5" t="n">
        <v>0</v>
      </c>
      <c r="L37" s="5" t="n">
        <v>0</v>
      </c>
      <c r="M37" s="5" t="n">
        <v>0</v>
      </c>
      <c r="N37" s="5" t="n">
        <v>0</v>
      </c>
      <c r="O37" s="5" t="n">
        <v>0</v>
      </c>
      <c r="P37" s="5" t="n">
        <v>0</v>
      </c>
      <c r="Q37" s="5" t="n">
        <v>0</v>
      </c>
      <c r="R37" s="5" t="n">
        <v>0</v>
      </c>
      <c r="S37" s="5" t="n">
        <v>0</v>
      </c>
      <c r="T37" s="5" t="n">
        <v>0</v>
      </c>
      <c r="U37" s="5" t="n">
        <v>0</v>
      </c>
      <c r="V37" s="5" t="n">
        <v>0</v>
      </c>
      <c r="W37" s="5" t="s">
        <v>795</v>
      </c>
      <c r="X37" s="5" t="n">
        <v>1</v>
      </c>
      <c r="Y37" s="5" t="n">
        <v>0</v>
      </c>
      <c r="Z37" s="5" t="n">
        <v>1</v>
      </c>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n">
        <v>0</v>
      </c>
      <c r="D38" s="5" t="n">
        <v>0</v>
      </c>
      <c r="E38" s="5" t="n">
        <v>0</v>
      </c>
      <c r="F38" s="5" t="n">
        <v>0</v>
      </c>
      <c r="G38" s="5" t="n">
        <v>0</v>
      </c>
      <c r="H38" s="5" t="n">
        <v>0</v>
      </c>
      <c r="I38" s="5" t="n">
        <v>0</v>
      </c>
      <c r="J38" s="5" t="n">
        <v>0</v>
      </c>
      <c r="K38" s="5" t="n">
        <v>0</v>
      </c>
      <c r="L38" s="5" t="n">
        <v>0</v>
      </c>
      <c r="M38" s="5" t="n">
        <v>0</v>
      </c>
      <c r="N38" s="5" t="n">
        <v>0</v>
      </c>
      <c r="O38" s="5" t="n">
        <v>0</v>
      </c>
      <c r="P38" s="5" t="n">
        <v>0</v>
      </c>
      <c r="Q38" s="5" t="n">
        <v>0</v>
      </c>
      <c r="R38" s="5" t="n">
        <v>0</v>
      </c>
      <c r="S38" s="5" t="n">
        <v>0</v>
      </c>
      <c r="T38" s="5" t="n">
        <v>0</v>
      </c>
      <c r="U38" s="5" t="n">
        <v>0</v>
      </c>
      <c r="V38" s="5" t="n">
        <v>0</v>
      </c>
      <c r="W38" s="5" t="s">
        <v>795</v>
      </c>
      <c r="X38" s="5" t="n">
        <v>1</v>
      </c>
      <c r="Y38" s="5" t="n">
        <v>0</v>
      </c>
      <c r="Z38" s="5" t="n">
        <v>1</v>
      </c>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n">
        <v>1</v>
      </c>
      <c r="D39" s="5" t="n">
        <v>0</v>
      </c>
      <c r="E39" s="5" t="n">
        <v>0</v>
      </c>
      <c r="F39" s="5" t="n">
        <v>1</v>
      </c>
      <c r="G39" s="5" t="n">
        <v>0</v>
      </c>
      <c r="H39" s="5" t="n">
        <v>0</v>
      </c>
      <c r="I39" s="5" t="n">
        <v>0</v>
      </c>
      <c r="J39" s="5" t="n">
        <v>0</v>
      </c>
      <c r="K39" s="5" t="n">
        <v>0</v>
      </c>
      <c r="L39" s="5" t="n">
        <v>0</v>
      </c>
      <c r="M39" s="5" t="n">
        <v>1</v>
      </c>
      <c r="N39" s="5" t="n">
        <v>0</v>
      </c>
      <c r="O39" s="5" t="n">
        <v>0</v>
      </c>
      <c r="P39" s="5" t="n">
        <v>0</v>
      </c>
      <c r="Q39" s="5" t="n">
        <v>0</v>
      </c>
      <c r="R39" s="5" t="n">
        <v>0</v>
      </c>
      <c r="S39" s="5" t="n">
        <v>0</v>
      </c>
      <c r="T39" s="5" t="n">
        <v>0</v>
      </c>
      <c r="U39" s="5" t="n">
        <v>0</v>
      </c>
      <c r="V39" s="5" t="n">
        <v>0</v>
      </c>
      <c r="W39" s="5" t="s">
        <v>795</v>
      </c>
      <c r="X39" s="5" t="n">
        <v>1</v>
      </c>
      <c r="Y39" s="5" t="n">
        <v>0</v>
      </c>
      <c r="Z39" s="5" t="n">
        <v>0</v>
      </c>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n">
        <v>0</v>
      </c>
      <c r="D40" s="5" t="n">
        <v>1</v>
      </c>
      <c r="E40" s="5" t="n">
        <v>0</v>
      </c>
      <c r="F40" s="5" t="n">
        <v>0</v>
      </c>
      <c r="G40" s="5" t="n">
        <v>0</v>
      </c>
      <c r="H40" s="5" t="n">
        <v>0</v>
      </c>
      <c r="I40" s="5" t="n">
        <v>0</v>
      </c>
      <c r="J40" s="5" t="n">
        <v>0</v>
      </c>
      <c r="K40" s="5" t="n">
        <v>0</v>
      </c>
      <c r="L40" s="5" t="n">
        <v>0</v>
      </c>
      <c r="M40" s="5" t="n">
        <v>0</v>
      </c>
      <c r="N40" s="5" t="n">
        <v>0</v>
      </c>
      <c r="O40" s="5" t="n">
        <v>0</v>
      </c>
      <c r="P40" s="5" t="n">
        <v>0</v>
      </c>
      <c r="Q40" s="5" t="n">
        <v>0</v>
      </c>
      <c r="R40" s="5" t="n">
        <v>0</v>
      </c>
      <c r="S40" s="5" t="n">
        <v>0</v>
      </c>
      <c r="T40" s="5" t="n">
        <v>0</v>
      </c>
      <c r="U40" s="5" t="n">
        <v>0</v>
      </c>
      <c r="V40" s="5" t="n">
        <v>0</v>
      </c>
      <c r="W40" s="5" t="s">
        <v>795</v>
      </c>
      <c r="X40" s="5" t="n">
        <v>1</v>
      </c>
      <c r="Y40" s="5" t="n">
        <v>0</v>
      </c>
      <c r="Z40" s="5" t="n">
        <v>1</v>
      </c>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23.85" hidden="false" customHeight="false" outlineLevel="0" collapsed="false">
      <c r="A41" s="5" t="n">
        <v>40</v>
      </c>
      <c r="B41" s="5" t="s">
        <v>952</v>
      </c>
      <c r="C41" s="5" t="n">
        <v>0</v>
      </c>
      <c r="D41" s="5" t="n">
        <v>1</v>
      </c>
      <c r="E41" s="5" t="n">
        <v>0</v>
      </c>
      <c r="F41" s="5" t="n">
        <v>0</v>
      </c>
      <c r="G41" s="5" t="n">
        <v>0</v>
      </c>
      <c r="H41" s="5" t="n">
        <v>0</v>
      </c>
      <c r="I41" s="5" t="n">
        <v>0</v>
      </c>
      <c r="J41" s="5" t="n">
        <v>0</v>
      </c>
      <c r="K41" s="5" t="n">
        <v>0</v>
      </c>
      <c r="L41" s="5" t="n">
        <v>0</v>
      </c>
      <c r="M41" s="5" t="n">
        <v>0</v>
      </c>
      <c r="N41" s="5" t="n">
        <v>0</v>
      </c>
      <c r="O41" s="5" t="n">
        <v>0</v>
      </c>
      <c r="P41" s="5" t="n">
        <v>0</v>
      </c>
      <c r="Q41" s="5" t="n">
        <v>0</v>
      </c>
      <c r="R41" s="5" t="n">
        <v>0</v>
      </c>
      <c r="S41" s="5" t="n">
        <v>0</v>
      </c>
      <c r="T41" s="5" t="n">
        <v>0</v>
      </c>
      <c r="U41" s="5" t="n">
        <v>0</v>
      </c>
      <c r="V41" s="5" t="n">
        <v>0</v>
      </c>
      <c r="W41" s="5" t="s">
        <v>795</v>
      </c>
      <c r="X41" s="5" t="n">
        <v>1</v>
      </c>
      <c r="Y41" s="5" t="n">
        <v>0</v>
      </c>
      <c r="Z41" s="5" t="n">
        <v>1</v>
      </c>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n">
        <v>1</v>
      </c>
      <c r="D42" s="5" t="n">
        <v>0</v>
      </c>
      <c r="E42" s="5" t="n">
        <v>0</v>
      </c>
      <c r="F42" s="5" t="n">
        <v>0</v>
      </c>
      <c r="G42" s="5" t="n">
        <v>0</v>
      </c>
      <c r="H42" s="5" t="n">
        <v>0</v>
      </c>
      <c r="I42" s="5" t="n">
        <v>0</v>
      </c>
      <c r="J42" s="5" t="n">
        <v>0</v>
      </c>
      <c r="K42" s="5" t="n">
        <v>0</v>
      </c>
      <c r="L42" s="5" t="n">
        <v>0</v>
      </c>
      <c r="M42" s="5" t="n">
        <v>1</v>
      </c>
      <c r="N42" s="5" t="n">
        <v>0</v>
      </c>
      <c r="O42" s="5" t="n">
        <v>0</v>
      </c>
      <c r="P42" s="5" t="n">
        <v>0</v>
      </c>
      <c r="Q42" s="5" t="n">
        <v>0</v>
      </c>
      <c r="R42" s="5" t="n">
        <v>0</v>
      </c>
      <c r="S42" s="5" t="n">
        <v>0</v>
      </c>
      <c r="T42" s="5" t="n">
        <v>0</v>
      </c>
      <c r="U42" s="5" t="n">
        <v>0</v>
      </c>
      <c r="V42" s="5" t="n">
        <v>0</v>
      </c>
      <c r="W42" s="5" t="s">
        <v>795</v>
      </c>
      <c r="X42" s="5" t="n">
        <v>1</v>
      </c>
      <c r="Y42" s="5" t="n">
        <v>0</v>
      </c>
      <c r="Z42" s="5" t="n">
        <v>0</v>
      </c>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n">
        <v>0</v>
      </c>
      <c r="D43" s="5" t="n">
        <v>0</v>
      </c>
      <c r="E43" s="5" t="n">
        <v>0</v>
      </c>
      <c r="F43" s="5" t="n">
        <v>0</v>
      </c>
      <c r="G43" s="5" t="n">
        <v>0</v>
      </c>
      <c r="H43" s="5" t="n">
        <v>0</v>
      </c>
      <c r="I43" s="5" t="n">
        <v>1</v>
      </c>
      <c r="J43" s="5" t="n">
        <v>1</v>
      </c>
      <c r="K43" s="5" t="n">
        <v>1</v>
      </c>
      <c r="L43" s="5" t="n">
        <v>1</v>
      </c>
      <c r="M43" s="5" t="n">
        <v>0</v>
      </c>
      <c r="N43" s="5" t="n">
        <v>0</v>
      </c>
      <c r="O43" s="5" t="n">
        <v>0</v>
      </c>
      <c r="P43" s="5" t="n">
        <v>0</v>
      </c>
      <c r="Q43" s="5" t="n">
        <v>0</v>
      </c>
      <c r="R43" s="5" t="n">
        <v>0</v>
      </c>
      <c r="S43" s="5" t="n">
        <v>0</v>
      </c>
      <c r="T43" s="5" t="n">
        <v>0</v>
      </c>
      <c r="U43" s="5" t="n">
        <v>0</v>
      </c>
      <c r="V43" s="5" t="n">
        <v>0</v>
      </c>
      <c r="W43" s="5" t="s">
        <v>795</v>
      </c>
      <c r="X43" s="5" t="n">
        <v>1</v>
      </c>
      <c r="Y43" s="5" t="n">
        <v>1</v>
      </c>
      <c r="Z43" s="5" t="n">
        <v>0</v>
      </c>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n">
        <v>1</v>
      </c>
      <c r="D44" s="5" t="n">
        <v>0</v>
      </c>
      <c r="E44" s="5" t="n">
        <v>0</v>
      </c>
      <c r="F44" s="5" t="n">
        <v>0</v>
      </c>
      <c r="G44" s="5" t="n">
        <v>0</v>
      </c>
      <c r="H44" s="5" t="n">
        <v>0</v>
      </c>
      <c r="I44" s="5" t="n">
        <v>0</v>
      </c>
      <c r="J44" s="5" t="n">
        <v>0</v>
      </c>
      <c r="K44" s="5" t="n">
        <v>0</v>
      </c>
      <c r="L44" s="5" t="n">
        <v>0</v>
      </c>
      <c r="M44" s="5" t="n">
        <v>1</v>
      </c>
      <c r="N44" s="5" t="n">
        <v>0</v>
      </c>
      <c r="O44" s="5" t="n">
        <v>0</v>
      </c>
      <c r="P44" s="5" t="n">
        <v>0</v>
      </c>
      <c r="Q44" s="5" t="n">
        <v>0</v>
      </c>
      <c r="R44" s="5" t="n">
        <v>0</v>
      </c>
      <c r="S44" s="5" t="n">
        <v>0</v>
      </c>
      <c r="T44" s="5" t="n">
        <v>0</v>
      </c>
      <c r="U44" s="5" t="n">
        <v>0</v>
      </c>
      <c r="V44" s="5" t="n">
        <v>0</v>
      </c>
      <c r="W44" s="5" t="s">
        <v>795</v>
      </c>
      <c r="X44" s="5" t="n">
        <v>1</v>
      </c>
      <c r="Y44" s="5" t="n">
        <v>0</v>
      </c>
      <c r="Z44" s="5" t="n">
        <v>0</v>
      </c>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n">
        <v>0</v>
      </c>
      <c r="D45" s="5" t="n">
        <v>0</v>
      </c>
      <c r="E45" s="5" t="n">
        <v>0</v>
      </c>
      <c r="F45" s="5" t="n">
        <v>0</v>
      </c>
      <c r="G45" s="5" t="n">
        <v>0</v>
      </c>
      <c r="H45" s="5" t="n">
        <v>1</v>
      </c>
      <c r="I45" s="5" t="n">
        <v>1</v>
      </c>
      <c r="J45" s="5" t="n">
        <v>0</v>
      </c>
      <c r="K45" s="5" t="n">
        <v>0</v>
      </c>
      <c r="L45" s="5" t="n">
        <v>0</v>
      </c>
      <c r="M45" s="5" t="n">
        <v>0</v>
      </c>
      <c r="N45" s="5" t="n">
        <v>0</v>
      </c>
      <c r="O45" s="5" t="n">
        <v>0</v>
      </c>
      <c r="P45" s="5" t="n">
        <v>0</v>
      </c>
      <c r="Q45" s="5" t="n">
        <v>0</v>
      </c>
      <c r="R45" s="5" t="n">
        <v>0</v>
      </c>
      <c r="S45" s="5" t="n">
        <v>0</v>
      </c>
      <c r="T45" s="5" t="n">
        <v>0</v>
      </c>
      <c r="U45" s="5" t="n">
        <v>0</v>
      </c>
      <c r="V45" s="5" t="n">
        <v>0</v>
      </c>
      <c r="W45" s="5" t="s">
        <v>795</v>
      </c>
      <c r="X45" s="5" t="n">
        <v>1</v>
      </c>
      <c r="Y45" s="5" t="n">
        <v>1</v>
      </c>
      <c r="Z45" s="5" t="n">
        <v>0</v>
      </c>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23.85" hidden="false" customHeight="false" outlineLevel="0" collapsed="false">
      <c r="A46" s="5" t="n">
        <v>45</v>
      </c>
      <c r="B46" s="5" t="s">
        <v>968</v>
      </c>
      <c r="C46" s="5" t="n">
        <v>0</v>
      </c>
      <c r="D46" s="5" t="n">
        <v>0</v>
      </c>
      <c r="E46" s="5" t="n">
        <v>0</v>
      </c>
      <c r="F46" s="5" t="n">
        <v>0</v>
      </c>
      <c r="G46" s="5" t="n">
        <v>0</v>
      </c>
      <c r="H46" s="5" t="n">
        <v>0</v>
      </c>
      <c r="I46" s="5" t="n">
        <v>0</v>
      </c>
      <c r="J46" s="5" t="n">
        <v>0</v>
      </c>
      <c r="K46" s="5" t="n">
        <v>0</v>
      </c>
      <c r="L46" s="5" t="n">
        <v>0</v>
      </c>
      <c r="M46" s="5" t="n">
        <v>0</v>
      </c>
      <c r="N46" s="5" t="n">
        <v>0</v>
      </c>
      <c r="O46" s="5" t="n">
        <v>0</v>
      </c>
      <c r="P46" s="5" t="n">
        <v>0</v>
      </c>
      <c r="Q46" s="5" t="n">
        <v>0</v>
      </c>
      <c r="R46" s="5" t="n">
        <v>0</v>
      </c>
      <c r="S46" s="5" t="n">
        <v>0</v>
      </c>
      <c r="T46" s="5" t="n">
        <v>0</v>
      </c>
      <c r="U46" s="5" t="n">
        <v>0</v>
      </c>
      <c r="V46" s="5" t="n">
        <v>0</v>
      </c>
      <c r="W46" s="5" t="s">
        <v>870</v>
      </c>
      <c r="X46" s="5" t="n">
        <v>0</v>
      </c>
      <c r="Y46" s="5" t="n">
        <v>1</v>
      </c>
      <c r="Z46" s="5" t="n">
        <v>0</v>
      </c>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n">
        <v>1</v>
      </c>
      <c r="D47" s="5" t="n">
        <v>0</v>
      </c>
      <c r="E47" s="5" t="n">
        <v>0</v>
      </c>
      <c r="F47" s="5" t="n">
        <v>0</v>
      </c>
      <c r="G47" s="5" t="n">
        <v>0</v>
      </c>
      <c r="H47" s="5" t="n">
        <v>0</v>
      </c>
      <c r="I47" s="5" t="n">
        <v>0</v>
      </c>
      <c r="J47" s="5" t="n">
        <v>0</v>
      </c>
      <c r="K47" s="5" t="n">
        <v>0</v>
      </c>
      <c r="L47" s="5" t="n">
        <v>0</v>
      </c>
      <c r="M47" s="5" t="n">
        <v>0</v>
      </c>
      <c r="N47" s="5" t="n">
        <v>0</v>
      </c>
      <c r="O47" s="5" t="n">
        <v>0</v>
      </c>
      <c r="P47" s="5" t="n">
        <v>0</v>
      </c>
      <c r="Q47" s="5" t="n">
        <v>0</v>
      </c>
      <c r="R47" s="5" t="n">
        <v>0</v>
      </c>
      <c r="S47" s="5" t="n">
        <v>0</v>
      </c>
      <c r="T47" s="5" t="n">
        <v>0</v>
      </c>
      <c r="U47" s="5" t="n">
        <v>0</v>
      </c>
      <c r="V47" s="5" t="n">
        <v>0</v>
      </c>
      <c r="W47" s="5" t="s">
        <v>795</v>
      </c>
      <c r="X47" s="5" t="n">
        <v>1</v>
      </c>
      <c r="Y47" s="5" t="n">
        <v>0</v>
      </c>
      <c r="Z47" s="5" t="n">
        <v>1</v>
      </c>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23.85" hidden="false" customHeight="false" outlineLevel="0" collapsed="false">
      <c r="A48" s="5" t="n">
        <v>47</v>
      </c>
      <c r="B48" s="5" t="s">
        <v>973</v>
      </c>
      <c r="C48" s="5" t="n">
        <v>1</v>
      </c>
      <c r="D48" s="5" t="n">
        <v>0</v>
      </c>
      <c r="E48" s="5" t="n">
        <v>0</v>
      </c>
      <c r="F48" s="5" t="n">
        <v>1</v>
      </c>
      <c r="G48" s="5" t="n">
        <v>0</v>
      </c>
      <c r="H48" s="5" t="n">
        <v>0</v>
      </c>
      <c r="I48" s="5" t="n">
        <v>0</v>
      </c>
      <c r="J48" s="5" t="n">
        <v>0</v>
      </c>
      <c r="K48" s="5" t="n">
        <v>0</v>
      </c>
      <c r="L48" s="5" t="n">
        <v>0</v>
      </c>
      <c r="M48" s="5" t="n">
        <v>0</v>
      </c>
      <c r="N48" s="5" t="n">
        <v>0</v>
      </c>
      <c r="O48" s="5" t="n">
        <v>0</v>
      </c>
      <c r="P48" s="5" t="n">
        <v>0</v>
      </c>
      <c r="Q48" s="5" t="n">
        <v>0</v>
      </c>
      <c r="R48" s="5" t="n">
        <v>0</v>
      </c>
      <c r="S48" s="5" t="n">
        <v>0</v>
      </c>
      <c r="T48" s="5" t="n">
        <v>0</v>
      </c>
      <c r="U48" s="5" t="n">
        <v>0</v>
      </c>
      <c r="V48" s="5" t="n">
        <v>0</v>
      </c>
      <c r="W48" s="5" t="s">
        <v>795</v>
      </c>
      <c r="X48" s="5" t="n">
        <v>1</v>
      </c>
      <c r="Y48" s="5" t="n">
        <v>1</v>
      </c>
      <c r="Z48" s="5" t="n">
        <v>1</v>
      </c>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n">
        <v>1</v>
      </c>
      <c r="D49" s="5" t="n">
        <v>0</v>
      </c>
      <c r="E49" s="5" t="n">
        <v>0</v>
      </c>
      <c r="F49" s="5" t="n">
        <v>1</v>
      </c>
      <c r="G49" s="5" t="n">
        <v>0</v>
      </c>
      <c r="H49" s="5" t="n">
        <v>0</v>
      </c>
      <c r="I49" s="5" t="n">
        <v>1</v>
      </c>
      <c r="J49" s="5" t="n">
        <v>1</v>
      </c>
      <c r="K49" s="5" t="n">
        <v>0</v>
      </c>
      <c r="L49" s="5" t="n">
        <v>0</v>
      </c>
      <c r="M49" s="5" t="n">
        <v>0</v>
      </c>
      <c r="N49" s="5" t="n">
        <v>0</v>
      </c>
      <c r="O49" s="5" t="n">
        <v>0</v>
      </c>
      <c r="P49" s="5" t="n">
        <v>0</v>
      </c>
      <c r="Q49" s="5" t="n">
        <v>0</v>
      </c>
      <c r="R49" s="5" t="n">
        <v>0</v>
      </c>
      <c r="S49" s="5" t="n">
        <v>0</v>
      </c>
      <c r="T49" s="5" t="n">
        <v>0</v>
      </c>
      <c r="U49" s="5" t="n">
        <v>0</v>
      </c>
      <c r="V49" s="5" t="n">
        <v>0</v>
      </c>
      <c r="W49" s="5" t="s">
        <v>795</v>
      </c>
      <c r="X49" s="5" t="n">
        <v>1</v>
      </c>
      <c r="Y49" s="5" t="n">
        <v>0</v>
      </c>
      <c r="Z49" s="5" t="n">
        <v>1</v>
      </c>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n">
        <v>0</v>
      </c>
      <c r="D50" s="5" t="n">
        <v>0</v>
      </c>
      <c r="E50" s="5" t="n">
        <v>1</v>
      </c>
      <c r="F50" s="5" t="n">
        <v>0</v>
      </c>
      <c r="G50" s="5" t="n">
        <v>0</v>
      </c>
      <c r="H50" s="5" t="n">
        <v>0</v>
      </c>
      <c r="I50" s="5" t="n">
        <v>0</v>
      </c>
      <c r="J50" s="5" t="n">
        <v>0</v>
      </c>
      <c r="K50" s="5" t="n">
        <v>0</v>
      </c>
      <c r="L50" s="5" t="n">
        <v>0</v>
      </c>
      <c r="M50" s="5" t="n">
        <v>0</v>
      </c>
      <c r="N50" s="5" t="n">
        <v>0</v>
      </c>
      <c r="O50" s="5" t="n">
        <v>0</v>
      </c>
      <c r="P50" s="5" t="n">
        <v>0</v>
      </c>
      <c r="Q50" s="5" t="n">
        <v>0</v>
      </c>
      <c r="R50" s="5" t="n">
        <v>0</v>
      </c>
      <c r="S50" s="5" t="n">
        <v>0</v>
      </c>
      <c r="T50" s="5" t="n">
        <v>0</v>
      </c>
      <c r="U50" s="5" t="n">
        <v>0</v>
      </c>
      <c r="V50" s="5" t="n">
        <v>0</v>
      </c>
      <c r="W50" s="5" t="s">
        <v>795</v>
      </c>
      <c r="X50" s="5" t="n">
        <v>1</v>
      </c>
      <c r="Y50" s="5" t="n">
        <v>0</v>
      </c>
      <c r="Z50" s="5" t="n">
        <v>1</v>
      </c>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23.85" hidden="false" customHeight="false" outlineLevel="0" collapsed="false">
      <c r="A51" s="5" t="n">
        <v>50</v>
      </c>
      <c r="B51" s="5" t="s">
        <v>981</v>
      </c>
      <c r="C51" s="5" t="n">
        <v>1</v>
      </c>
      <c r="D51" s="5" t="n">
        <v>0</v>
      </c>
      <c r="E51" s="5" t="n">
        <v>1</v>
      </c>
      <c r="F51" s="5" t="n">
        <v>0</v>
      </c>
      <c r="G51" s="5" t="n">
        <v>0</v>
      </c>
      <c r="H51" s="5" t="n">
        <v>0</v>
      </c>
      <c r="I51" s="5" t="n">
        <v>0</v>
      </c>
      <c r="J51" s="5" t="n">
        <v>0</v>
      </c>
      <c r="K51" s="5" t="n">
        <v>0</v>
      </c>
      <c r="L51" s="5" t="n">
        <v>0</v>
      </c>
      <c r="M51" s="5" t="n">
        <v>0</v>
      </c>
      <c r="N51" s="5" t="n">
        <v>0</v>
      </c>
      <c r="O51" s="5" t="n">
        <v>0</v>
      </c>
      <c r="P51" s="5" t="n">
        <v>0</v>
      </c>
      <c r="Q51" s="5" t="n">
        <v>0</v>
      </c>
      <c r="R51" s="5" t="n">
        <v>0</v>
      </c>
      <c r="S51" s="5" t="n">
        <v>0</v>
      </c>
      <c r="T51" s="5" t="n">
        <v>0</v>
      </c>
      <c r="U51" s="5" t="n">
        <v>0</v>
      </c>
      <c r="V51" s="5" t="n">
        <v>0</v>
      </c>
      <c r="W51" s="5" t="s">
        <v>795</v>
      </c>
      <c r="X51" s="5" t="n">
        <v>1</v>
      </c>
      <c r="Y51" s="5" t="n">
        <v>0</v>
      </c>
      <c r="Z51" s="5" t="n">
        <v>1</v>
      </c>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23.85" hidden="false" customHeight="false" outlineLevel="0" collapsed="false">
      <c r="A52" s="5" t="n">
        <v>51</v>
      </c>
      <c r="B52" s="5" t="s">
        <v>983</v>
      </c>
      <c r="C52" s="5" t="n">
        <v>0</v>
      </c>
      <c r="D52" s="5" t="n">
        <v>0</v>
      </c>
      <c r="E52" s="5" t="n">
        <v>1</v>
      </c>
      <c r="F52" s="5" t="n">
        <v>0</v>
      </c>
      <c r="G52" s="5" t="n">
        <v>0</v>
      </c>
      <c r="H52" s="5" t="n">
        <v>0</v>
      </c>
      <c r="I52" s="5" t="n">
        <v>0</v>
      </c>
      <c r="J52" s="5" t="n">
        <v>0</v>
      </c>
      <c r="K52" s="5" t="n">
        <v>0</v>
      </c>
      <c r="L52" s="5" t="n">
        <v>0</v>
      </c>
      <c r="M52" s="5" t="n">
        <v>1</v>
      </c>
      <c r="N52" s="5" t="n">
        <v>0</v>
      </c>
      <c r="O52" s="5" t="n">
        <v>0</v>
      </c>
      <c r="P52" s="5" t="n">
        <v>0</v>
      </c>
      <c r="Q52" s="5" t="n">
        <v>0</v>
      </c>
      <c r="R52" s="5" t="n">
        <v>0</v>
      </c>
      <c r="S52" s="5" t="n">
        <v>0</v>
      </c>
      <c r="T52" s="5" t="n">
        <v>0</v>
      </c>
      <c r="U52" s="5" t="n">
        <v>0</v>
      </c>
      <c r="V52" s="5" t="n">
        <v>0</v>
      </c>
      <c r="W52" s="5" t="s">
        <v>795</v>
      </c>
      <c r="X52" s="5" t="n">
        <v>1</v>
      </c>
      <c r="Y52" s="5" t="n">
        <v>0</v>
      </c>
      <c r="Z52" s="5" t="n">
        <v>1</v>
      </c>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23.85" hidden="false" customHeight="false" outlineLevel="0" collapsed="false">
      <c r="A53" s="5" t="n">
        <v>52</v>
      </c>
      <c r="B53" s="5" t="s">
        <v>986</v>
      </c>
      <c r="C53" s="5" t="n">
        <v>0</v>
      </c>
      <c r="D53" s="5" t="n">
        <v>0</v>
      </c>
      <c r="E53" s="5" t="n">
        <v>1</v>
      </c>
      <c r="F53" s="5" t="n">
        <v>0</v>
      </c>
      <c r="G53" s="5" t="n">
        <v>0</v>
      </c>
      <c r="H53" s="5" t="n">
        <v>0</v>
      </c>
      <c r="I53" s="5" t="n">
        <v>0</v>
      </c>
      <c r="J53" s="5" t="n">
        <v>0</v>
      </c>
      <c r="K53" s="5" t="n">
        <v>0</v>
      </c>
      <c r="L53" s="5" t="n">
        <v>0</v>
      </c>
      <c r="M53" s="5" t="n">
        <v>0</v>
      </c>
      <c r="N53" s="5" t="n">
        <v>0</v>
      </c>
      <c r="O53" s="5" t="n">
        <v>0</v>
      </c>
      <c r="P53" s="5" t="n">
        <v>0</v>
      </c>
      <c r="Q53" s="5" t="n">
        <v>0</v>
      </c>
      <c r="R53" s="5" t="n">
        <v>0</v>
      </c>
      <c r="S53" s="5" t="n">
        <v>0</v>
      </c>
      <c r="T53" s="5" t="n">
        <v>0</v>
      </c>
      <c r="U53" s="5" t="n">
        <v>0</v>
      </c>
      <c r="V53" s="5" t="n">
        <v>0</v>
      </c>
      <c r="W53" s="5" t="s">
        <v>795</v>
      </c>
      <c r="X53" s="5" t="n">
        <v>1</v>
      </c>
      <c r="Y53" s="5" t="n">
        <v>0</v>
      </c>
      <c r="Z53" s="5" t="n">
        <v>1</v>
      </c>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n">
        <v>0</v>
      </c>
      <c r="D54" s="5" t="n">
        <v>0</v>
      </c>
      <c r="E54" s="5" t="n">
        <v>1</v>
      </c>
      <c r="F54" s="5" t="n">
        <v>0</v>
      </c>
      <c r="G54" s="5" t="n">
        <v>0</v>
      </c>
      <c r="H54" s="5" t="n">
        <v>0</v>
      </c>
      <c r="I54" s="5" t="n">
        <v>0</v>
      </c>
      <c r="J54" s="5" t="n">
        <v>0</v>
      </c>
      <c r="K54" s="5" t="n">
        <v>0</v>
      </c>
      <c r="L54" s="5" t="n">
        <v>0</v>
      </c>
      <c r="M54" s="5" t="n">
        <v>0</v>
      </c>
      <c r="N54" s="5" t="n">
        <v>0</v>
      </c>
      <c r="O54" s="5" t="n">
        <v>0</v>
      </c>
      <c r="P54" s="5" t="n">
        <v>0</v>
      </c>
      <c r="Q54" s="5" t="n">
        <v>0</v>
      </c>
      <c r="R54" s="5" t="n">
        <v>0</v>
      </c>
      <c r="S54" s="5" t="n">
        <v>0</v>
      </c>
      <c r="T54" s="5" t="n">
        <v>0</v>
      </c>
      <c r="U54" s="5" t="n">
        <v>0</v>
      </c>
      <c r="V54" s="5" t="n">
        <v>0</v>
      </c>
      <c r="W54" s="5" t="s">
        <v>795</v>
      </c>
      <c r="X54" s="5" t="n">
        <v>1</v>
      </c>
      <c r="Y54" s="5" t="n">
        <v>0</v>
      </c>
      <c r="Z54" s="5" t="n">
        <v>1</v>
      </c>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23.85" hidden="false" customHeight="false" outlineLevel="0" collapsed="false">
      <c r="A55" s="5" t="n">
        <v>54</v>
      </c>
      <c r="B55" s="5" t="s">
        <v>993</v>
      </c>
      <c r="C55" s="5" t="n">
        <v>1</v>
      </c>
      <c r="D55" s="5" t="n">
        <v>0</v>
      </c>
      <c r="E55" s="5" t="n">
        <v>1</v>
      </c>
      <c r="F55" s="5" t="n">
        <v>0</v>
      </c>
      <c r="G55" s="5" t="n">
        <v>0</v>
      </c>
      <c r="H55" s="5" t="n">
        <v>0</v>
      </c>
      <c r="I55" s="5" t="n">
        <v>0</v>
      </c>
      <c r="J55" s="5" t="n">
        <v>0</v>
      </c>
      <c r="K55" s="5" t="n">
        <v>0</v>
      </c>
      <c r="L55" s="5" t="n">
        <v>0</v>
      </c>
      <c r="M55" s="5" t="n">
        <v>0</v>
      </c>
      <c r="N55" s="5" t="n">
        <v>0</v>
      </c>
      <c r="O55" s="5" t="n">
        <v>0</v>
      </c>
      <c r="P55" s="5" t="n">
        <v>0</v>
      </c>
      <c r="Q55" s="5" t="n">
        <v>0</v>
      </c>
      <c r="R55" s="5" t="n">
        <v>0</v>
      </c>
      <c r="S55" s="5" t="n">
        <v>0</v>
      </c>
      <c r="T55" s="5" t="n">
        <v>0</v>
      </c>
      <c r="U55" s="5" t="n">
        <v>0</v>
      </c>
      <c r="V55" s="5" t="n">
        <v>0</v>
      </c>
      <c r="W55" s="5" t="s">
        <v>795</v>
      </c>
      <c r="X55" s="5" t="n">
        <v>1</v>
      </c>
      <c r="Y55" s="5" t="n">
        <v>0</v>
      </c>
      <c r="Z55" s="5" t="n">
        <v>1</v>
      </c>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23.85" hidden="false" customHeight="false" outlineLevel="0" collapsed="false">
      <c r="A56" s="5" t="n">
        <v>55</v>
      </c>
      <c r="B56" s="5" t="s">
        <v>996</v>
      </c>
      <c r="C56" s="5" t="n">
        <v>1</v>
      </c>
      <c r="D56" s="5" t="n">
        <v>0</v>
      </c>
      <c r="E56" s="5" t="n">
        <v>1</v>
      </c>
      <c r="F56" s="5" t="n">
        <v>0</v>
      </c>
      <c r="G56" s="5" t="n">
        <v>0</v>
      </c>
      <c r="H56" s="5" t="n">
        <v>0</v>
      </c>
      <c r="I56" s="5" t="n">
        <v>0</v>
      </c>
      <c r="J56" s="5" t="n">
        <v>0</v>
      </c>
      <c r="K56" s="5" t="n">
        <v>0</v>
      </c>
      <c r="L56" s="5" t="n">
        <v>0</v>
      </c>
      <c r="M56" s="5" t="n">
        <v>0</v>
      </c>
      <c r="N56" s="5" t="n">
        <v>0</v>
      </c>
      <c r="O56" s="5" t="n">
        <v>0</v>
      </c>
      <c r="P56" s="5" t="n">
        <v>0</v>
      </c>
      <c r="Q56" s="5" t="n">
        <v>0</v>
      </c>
      <c r="R56" s="5" t="n">
        <v>0</v>
      </c>
      <c r="S56" s="5" t="n">
        <v>0</v>
      </c>
      <c r="T56" s="5" t="n">
        <v>0</v>
      </c>
      <c r="U56" s="5" t="n">
        <v>0</v>
      </c>
      <c r="V56" s="5" t="n">
        <v>0</v>
      </c>
      <c r="W56" s="5" t="s">
        <v>795</v>
      </c>
      <c r="X56" s="5" t="n">
        <v>1</v>
      </c>
      <c r="Y56" s="5" t="n">
        <v>0</v>
      </c>
      <c r="Z56" s="5" t="n">
        <v>1</v>
      </c>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35.05" hidden="false" customHeight="false" outlineLevel="0" collapsed="false">
      <c r="A57" s="5" t="n">
        <v>56</v>
      </c>
      <c r="B57" s="5" t="s">
        <v>175</v>
      </c>
      <c r="C57" s="5" t="n">
        <v>1</v>
      </c>
      <c r="D57" s="5" t="n">
        <v>1</v>
      </c>
      <c r="E57" s="5" t="n">
        <v>0</v>
      </c>
      <c r="F57" s="5" t="n">
        <v>0</v>
      </c>
      <c r="G57" s="5" t="n">
        <v>0</v>
      </c>
      <c r="H57" s="5" t="n">
        <v>0</v>
      </c>
      <c r="I57" s="5" t="n">
        <v>0</v>
      </c>
      <c r="J57" s="5" t="n">
        <v>0</v>
      </c>
      <c r="K57" s="5" t="n">
        <v>0</v>
      </c>
      <c r="L57" s="5" t="n">
        <v>0</v>
      </c>
      <c r="M57" s="5" t="n">
        <v>0</v>
      </c>
      <c r="N57" s="5" t="n">
        <v>0</v>
      </c>
      <c r="O57" s="5" t="n">
        <v>0</v>
      </c>
      <c r="P57" s="5" t="n">
        <v>0</v>
      </c>
      <c r="Q57" s="5" t="n">
        <v>0</v>
      </c>
      <c r="R57" s="5" t="n">
        <v>0</v>
      </c>
      <c r="S57" s="5" t="n">
        <v>0</v>
      </c>
      <c r="T57" s="5" t="n">
        <v>0</v>
      </c>
      <c r="U57" s="5" t="n">
        <v>0</v>
      </c>
      <c r="V57" s="5" t="n">
        <v>0</v>
      </c>
      <c r="W57" s="5" t="s">
        <v>795</v>
      </c>
      <c r="X57" s="5" t="n">
        <v>1</v>
      </c>
      <c r="Y57" s="5" t="n">
        <v>0</v>
      </c>
      <c r="Z57" s="5" t="n">
        <v>1</v>
      </c>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n">
        <v>1</v>
      </c>
      <c r="D58" s="5" t="n">
        <v>0</v>
      </c>
      <c r="E58" s="5" t="n">
        <v>0</v>
      </c>
      <c r="F58" s="5" t="n">
        <v>0</v>
      </c>
      <c r="G58" s="5" t="n">
        <v>0</v>
      </c>
      <c r="H58" s="5" t="n">
        <v>0</v>
      </c>
      <c r="I58" s="5" t="n">
        <v>0</v>
      </c>
      <c r="J58" s="5" t="n">
        <v>0</v>
      </c>
      <c r="K58" s="5" t="n">
        <v>0</v>
      </c>
      <c r="L58" s="5" t="n">
        <v>0</v>
      </c>
      <c r="M58" s="5" t="n">
        <v>1</v>
      </c>
      <c r="N58" s="5" t="n">
        <v>0</v>
      </c>
      <c r="O58" s="5" t="n">
        <v>0</v>
      </c>
      <c r="P58" s="5" t="n">
        <v>0</v>
      </c>
      <c r="Q58" s="5" t="n">
        <v>0</v>
      </c>
      <c r="R58" s="5" t="n">
        <v>0</v>
      </c>
      <c r="S58" s="5" t="n">
        <v>0</v>
      </c>
      <c r="T58" s="5" t="n">
        <v>0</v>
      </c>
      <c r="U58" s="5" t="n">
        <v>0</v>
      </c>
      <c r="V58" s="5" t="n">
        <v>0</v>
      </c>
      <c r="W58" s="5" t="s">
        <v>835</v>
      </c>
      <c r="X58" s="5" t="n">
        <v>0</v>
      </c>
      <c r="Y58" s="5" t="n">
        <v>0</v>
      </c>
      <c r="Z58" s="5" t="n">
        <v>0</v>
      </c>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n">
        <v>0</v>
      </c>
      <c r="D59" s="5" t="n">
        <v>1</v>
      </c>
      <c r="E59" s="5" t="n">
        <v>0</v>
      </c>
      <c r="F59" s="5" t="n">
        <v>0</v>
      </c>
      <c r="G59" s="5" t="n">
        <v>0</v>
      </c>
      <c r="H59" s="5" t="n">
        <v>1</v>
      </c>
      <c r="I59" s="5" t="n">
        <v>1</v>
      </c>
      <c r="J59" s="5" t="n">
        <v>0</v>
      </c>
      <c r="K59" s="5" t="n">
        <v>1</v>
      </c>
      <c r="L59" s="5" t="n">
        <v>1</v>
      </c>
      <c r="M59" s="5" t="n">
        <v>0</v>
      </c>
      <c r="N59" s="5" t="n">
        <v>1</v>
      </c>
      <c r="O59" s="5" t="n">
        <v>0</v>
      </c>
      <c r="P59" s="5" t="n">
        <v>1</v>
      </c>
      <c r="Q59" s="5" t="n">
        <v>0</v>
      </c>
      <c r="R59" s="5" t="n">
        <v>0</v>
      </c>
      <c r="S59" s="5" t="n">
        <v>0</v>
      </c>
      <c r="T59" s="5" t="n">
        <v>0</v>
      </c>
      <c r="U59" s="5" t="n">
        <v>1</v>
      </c>
      <c r="V59" s="5" t="n">
        <v>0</v>
      </c>
      <c r="W59" s="5" t="s">
        <v>795</v>
      </c>
      <c r="X59" s="5" t="n">
        <v>1</v>
      </c>
      <c r="Y59" s="5" t="n">
        <v>1</v>
      </c>
      <c r="Z59" s="5" t="n">
        <v>1</v>
      </c>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n">
        <v>1</v>
      </c>
      <c r="D60" s="1" t="n">
        <v>0</v>
      </c>
      <c r="E60" s="1" t="n">
        <v>0</v>
      </c>
      <c r="F60" s="1" t="n">
        <v>0</v>
      </c>
      <c r="G60" s="1" t="n">
        <v>0</v>
      </c>
      <c r="H60" s="1" t="n">
        <v>0</v>
      </c>
      <c r="I60" s="1" t="n">
        <v>1</v>
      </c>
      <c r="J60" s="1" t="n">
        <v>1</v>
      </c>
      <c r="K60" s="1" t="n">
        <v>0</v>
      </c>
      <c r="L60" s="1" t="n">
        <v>0</v>
      </c>
      <c r="M60" s="1" t="n">
        <v>0</v>
      </c>
      <c r="N60" s="1" t="n">
        <v>0</v>
      </c>
      <c r="O60" s="1" t="n">
        <v>0</v>
      </c>
      <c r="P60" s="1" t="n">
        <v>0</v>
      </c>
      <c r="Q60" s="1" t="n">
        <v>0</v>
      </c>
      <c r="R60" s="1" t="n">
        <v>1</v>
      </c>
      <c r="S60" s="1" t="n">
        <v>0</v>
      </c>
      <c r="T60" s="1" t="n">
        <v>1</v>
      </c>
      <c r="U60" s="1" t="n">
        <v>0</v>
      </c>
      <c r="V60" s="1" t="n">
        <v>0</v>
      </c>
      <c r="W60" s="1" t="s">
        <v>795</v>
      </c>
      <c r="X60" s="1" t="n">
        <v>1</v>
      </c>
      <c r="Y60" s="1" t="n">
        <v>1</v>
      </c>
      <c r="Z60" s="1" t="n">
        <v>0</v>
      </c>
    </row>
  </sheetData>
  <conditionalFormatting sqref="C2:AZ59">
    <cfRule type="expression" priority="2" aboveAverage="0" equalAverage="0" bottom="0" percent="0" rank="0" text="" dxfId="32">
      <formula>C2=1</formula>
    </cfRule>
    <cfRule type="expression" priority="3" aboveAverage="0" equalAverage="0" bottom="0" percent="0" rank="0" text="" dxfId="33">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52" min="3" style="1" width="15"/>
  </cols>
  <sheetData>
    <row r="1" customFormat="false" ht="36" hidden="false" customHeight="true" outlineLevel="0" collapsed="false">
      <c r="A1" s="6" t="s">
        <v>805</v>
      </c>
      <c r="B1" s="5" t="s">
        <v>1012</v>
      </c>
      <c r="C1" s="5" t="s">
        <v>1074</v>
      </c>
      <c r="D1" s="5" t="s">
        <v>1701</v>
      </c>
      <c r="E1" s="5" t="s">
        <v>1702</v>
      </c>
      <c r="F1" s="5" t="s">
        <v>1077</v>
      </c>
      <c r="G1" s="5" t="s">
        <v>1079</v>
      </c>
      <c r="H1" s="5" t="s">
        <v>1078</v>
      </c>
      <c r="I1" s="5" t="s">
        <v>1703</v>
      </c>
      <c r="J1" s="5" t="s">
        <v>1082</v>
      </c>
      <c r="K1" s="5" t="s">
        <v>1704</v>
      </c>
      <c r="L1" s="5" t="s">
        <v>1081</v>
      </c>
      <c r="M1" s="5" t="s">
        <v>1705</v>
      </c>
      <c r="N1" s="5" t="s">
        <v>1087</v>
      </c>
      <c r="O1" s="5" t="s">
        <v>1706</v>
      </c>
      <c r="P1" s="5" t="s">
        <v>1089</v>
      </c>
      <c r="Q1" s="5" t="s">
        <v>1090</v>
      </c>
      <c r="R1" s="5" t="s">
        <v>1707</v>
      </c>
      <c r="S1" s="5" t="s">
        <v>1086</v>
      </c>
      <c r="T1" s="5" t="s">
        <v>1708</v>
      </c>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n">
        <v>0</v>
      </c>
      <c r="D2" s="5" t="n">
        <v>0</v>
      </c>
      <c r="E2" s="5" t="n">
        <v>0</v>
      </c>
      <c r="F2" s="5" t="n">
        <v>0</v>
      </c>
      <c r="G2" s="5" t="n">
        <v>1</v>
      </c>
      <c r="H2" s="5" t="n">
        <v>0</v>
      </c>
      <c r="I2" s="5" t="n">
        <v>1</v>
      </c>
      <c r="J2" s="5" t="n">
        <v>0</v>
      </c>
      <c r="K2" s="5" t="n">
        <v>0</v>
      </c>
      <c r="L2" s="5" t="n">
        <v>0</v>
      </c>
      <c r="M2" s="5" t="n">
        <v>1</v>
      </c>
      <c r="N2" s="5" t="n">
        <v>0</v>
      </c>
      <c r="O2" s="5" t="n">
        <v>0</v>
      </c>
      <c r="P2" s="5" t="n">
        <v>0</v>
      </c>
      <c r="Q2" s="5" t="n">
        <v>0</v>
      </c>
      <c r="R2" s="5" t="n">
        <v>0</v>
      </c>
      <c r="S2" s="5" t="n">
        <v>0</v>
      </c>
      <c r="T2" s="5" t="n">
        <v>0</v>
      </c>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n">
        <v>0</v>
      </c>
      <c r="D3" s="5" t="n">
        <v>0</v>
      </c>
      <c r="E3" s="5" t="n">
        <v>0</v>
      </c>
      <c r="F3" s="5" t="n">
        <v>0</v>
      </c>
      <c r="G3" s="5" t="n">
        <v>1</v>
      </c>
      <c r="H3" s="5" t="n">
        <v>0</v>
      </c>
      <c r="I3" s="5" t="n">
        <v>1</v>
      </c>
      <c r="J3" s="5" t="n">
        <v>0</v>
      </c>
      <c r="K3" s="5" t="n">
        <v>0</v>
      </c>
      <c r="L3" s="5" t="n">
        <v>0</v>
      </c>
      <c r="M3" s="5" t="n">
        <v>1</v>
      </c>
      <c r="N3" s="5" t="n">
        <v>0</v>
      </c>
      <c r="O3" s="5" t="n">
        <v>0</v>
      </c>
      <c r="P3" s="5" t="n">
        <v>0</v>
      </c>
      <c r="Q3" s="5" t="n">
        <v>0</v>
      </c>
      <c r="R3" s="5" t="n">
        <v>0</v>
      </c>
      <c r="S3" s="5" t="n">
        <v>0</v>
      </c>
      <c r="T3" s="5" t="n">
        <v>0</v>
      </c>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n">
        <v>0</v>
      </c>
      <c r="D4" s="5" t="n">
        <v>0</v>
      </c>
      <c r="E4" s="5" t="n">
        <v>1</v>
      </c>
      <c r="F4" s="5" t="n">
        <v>0</v>
      </c>
      <c r="G4" s="5" t="n">
        <v>1</v>
      </c>
      <c r="H4" s="5" t="n">
        <v>0</v>
      </c>
      <c r="I4" s="5" t="n">
        <v>0</v>
      </c>
      <c r="J4" s="5" t="n">
        <v>0</v>
      </c>
      <c r="K4" s="5" t="n">
        <v>0</v>
      </c>
      <c r="L4" s="5" t="n">
        <v>0</v>
      </c>
      <c r="M4" s="5" t="n">
        <v>0</v>
      </c>
      <c r="N4" s="5" t="n">
        <v>0</v>
      </c>
      <c r="O4" s="5" t="n">
        <v>0</v>
      </c>
      <c r="P4" s="5" t="n">
        <v>0</v>
      </c>
      <c r="Q4" s="5" t="n">
        <v>0</v>
      </c>
      <c r="R4" s="5" t="n">
        <v>0</v>
      </c>
      <c r="S4" s="5" t="n">
        <v>0</v>
      </c>
      <c r="T4" s="5" t="n">
        <v>0</v>
      </c>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n">
        <v>1</v>
      </c>
      <c r="D5" s="5" t="n">
        <v>0</v>
      </c>
      <c r="E5" s="5" t="n">
        <v>1</v>
      </c>
      <c r="F5" s="5" t="n">
        <v>0</v>
      </c>
      <c r="G5" s="5" t="n">
        <v>0</v>
      </c>
      <c r="H5" s="5" t="n">
        <v>0</v>
      </c>
      <c r="I5" s="5" t="n">
        <v>0</v>
      </c>
      <c r="J5" s="5" t="n">
        <v>0</v>
      </c>
      <c r="K5" s="5" t="n">
        <v>0</v>
      </c>
      <c r="L5" s="5" t="n">
        <v>0</v>
      </c>
      <c r="M5" s="5" t="n">
        <v>0</v>
      </c>
      <c r="N5" s="5" t="n">
        <v>0</v>
      </c>
      <c r="O5" s="5" t="n">
        <v>0</v>
      </c>
      <c r="P5" s="5" t="n">
        <v>0</v>
      </c>
      <c r="Q5" s="5" t="n">
        <v>0</v>
      </c>
      <c r="R5" s="5" t="n">
        <v>0</v>
      </c>
      <c r="S5" s="5" t="n">
        <v>0</v>
      </c>
      <c r="T5" s="5" t="n">
        <v>0</v>
      </c>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n">
        <v>0</v>
      </c>
      <c r="D6" s="5" t="n">
        <v>0</v>
      </c>
      <c r="E6" s="5" t="n">
        <v>0</v>
      </c>
      <c r="F6" s="5" t="n">
        <v>0</v>
      </c>
      <c r="G6" s="5" t="n">
        <v>1</v>
      </c>
      <c r="H6" s="5" t="n">
        <v>0</v>
      </c>
      <c r="I6" s="5" t="n">
        <v>0</v>
      </c>
      <c r="J6" s="5" t="n">
        <v>0</v>
      </c>
      <c r="K6" s="5" t="n">
        <v>0</v>
      </c>
      <c r="L6" s="5" t="n">
        <v>0</v>
      </c>
      <c r="M6" s="5" t="n">
        <v>0</v>
      </c>
      <c r="N6" s="5" t="n">
        <v>0</v>
      </c>
      <c r="O6" s="5" t="n">
        <v>0</v>
      </c>
      <c r="P6" s="5" t="n">
        <v>0</v>
      </c>
      <c r="Q6" s="5" t="n">
        <v>0</v>
      </c>
      <c r="R6" s="5" t="n">
        <v>0</v>
      </c>
      <c r="S6" s="5" t="n">
        <v>0</v>
      </c>
      <c r="T6" s="5" t="n">
        <v>0</v>
      </c>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23.85" hidden="false" customHeight="false" outlineLevel="0" collapsed="false">
      <c r="A7" s="5" t="n">
        <v>6</v>
      </c>
      <c r="B7" s="5" t="s">
        <v>839</v>
      </c>
      <c r="C7" s="5" t="n">
        <v>0</v>
      </c>
      <c r="D7" s="5" t="n">
        <v>0</v>
      </c>
      <c r="E7" s="5" t="n">
        <v>1</v>
      </c>
      <c r="F7" s="5" t="n">
        <v>0</v>
      </c>
      <c r="G7" s="5" t="n">
        <v>0</v>
      </c>
      <c r="H7" s="5" t="n">
        <v>0</v>
      </c>
      <c r="I7" s="5" t="n">
        <v>0</v>
      </c>
      <c r="J7" s="5" t="n">
        <v>0</v>
      </c>
      <c r="K7" s="5" t="n">
        <v>0</v>
      </c>
      <c r="L7" s="5" t="n">
        <v>0</v>
      </c>
      <c r="M7" s="5" t="n">
        <v>0</v>
      </c>
      <c r="N7" s="5" t="n">
        <v>0</v>
      </c>
      <c r="O7" s="5" t="n">
        <v>0</v>
      </c>
      <c r="P7" s="5" t="n">
        <v>0</v>
      </c>
      <c r="Q7" s="5" t="n">
        <v>0</v>
      </c>
      <c r="R7" s="5" t="n">
        <v>0</v>
      </c>
      <c r="S7" s="5" t="n">
        <v>0</v>
      </c>
      <c r="T7" s="5" t="n">
        <v>0</v>
      </c>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n">
        <v>0</v>
      </c>
      <c r="D8" s="5" t="n">
        <v>0</v>
      </c>
      <c r="E8" s="5" t="n">
        <v>0</v>
      </c>
      <c r="F8" s="5" t="n">
        <v>1</v>
      </c>
      <c r="G8" s="5" t="n">
        <v>1</v>
      </c>
      <c r="H8" s="5" t="n">
        <v>0</v>
      </c>
      <c r="I8" s="5" t="n">
        <v>0</v>
      </c>
      <c r="J8" s="5" t="n">
        <v>0</v>
      </c>
      <c r="K8" s="5" t="n">
        <v>0</v>
      </c>
      <c r="L8" s="5" t="n">
        <v>0</v>
      </c>
      <c r="M8" s="5" t="n">
        <v>1</v>
      </c>
      <c r="N8" s="5" t="n">
        <v>0</v>
      </c>
      <c r="O8" s="5" t="n">
        <v>0</v>
      </c>
      <c r="P8" s="5" t="n">
        <v>0</v>
      </c>
      <c r="Q8" s="5" t="n">
        <v>0</v>
      </c>
      <c r="R8" s="5" t="n">
        <v>0</v>
      </c>
      <c r="S8" s="5" t="n">
        <v>0</v>
      </c>
      <c r="T8" s="5" t="n">
        <v>0</v>
      </c>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23.85" hidden="false" customHeight="false" outlineLevel="0" collapsed="false">
      <c r="A9" s="5" t="n">
        <v>8</v>
      </c>
      <c r="B9" s="5" t="s">
        <v>847</v>
      </c>
      <c r="C9" s="5" t="n">
        <v>1</v>
      </c>
      <c r="D9" s="5" t="n">
        <v>0</v>
      </c>
      <c r="E9" s="5" t="n">
        <v>1</v>
      </c>
      <c r="F9" s="5" t="n">
        <v>0</v>
      </c>
      <c r="G9" s="5" t="n">
        <v>0</v>
      </c>
      <c r="H9" s="5" t="n">
        <v>0</v>
      </c>
      <c r="I9" s="5" t="n">
        <v>0</v>
      </c>
      <c r="J9" s="5" t="n">
        <v>0</v>
      </c>
      <c r="K9" s="5" t="n">
        <v>1</v>
      </c>
      <c r="L9" s="5" t="n">
        <v>0</v>
      </c>
      <c r="M9" s="5" t="n">
        <v>1</v>
      </c>
      <c r="N9" s="5" t="n">
        <v>0</v>
      </c>
      <c r="O9" s="5" t="n">
        <v>0</v>
      </c>
      <c r="P9" s="5" t="n">
        <v>0</v>
      </c>
      <c r="Q9" s="5" t="n">
        <v>0</v>
      </c>
      <c r="R9" s="5" t="n">
        <v>0</v>
      </c>
      <c r="S9" s="5" t="n">
        <v>0</v>
      </c>
      <c r="T9" s="5" t="n">
        <v>0</v>
      </c>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n">
        <v>1</v>
      </c>
      <c r="D10" s="5" t="n">
        <v>0</v>
      </c>
      <c r="E10" s="5" t="n">
        <v>0</v>
      </c>
      <c r="F10" s="5" t="n">
        <v>0</v>
      </c>
      <c r="G10" s="5" t="n">
        <v>1</v>
      </c>
      <c r="H10" s="5" t="n">
        <v>0</v>
      </c>
      <c r="I10" s="5" t="n">
        <v>1</v>
      </c>
      <c r="J10" s="5" t="n">
        <v>1</v>
      </c>
      <c r="K10" s="5" t="n">
        <v>0</v>
      </c>
      <c r="L10" s="5" t="n">
        <v>0</v>
      </c>
      <c r="M10" s="5" t="n">
        <v>0</v>
      </c>
      <c r="N10" s="5" t="n">
        <v>0</v>
      </c>
      <c r="O10" s="5" t="n">
        <v>0</v>
      </c>
      <c r="P10" s="5" t="n">
        <v>0</v>
      </c>
      <c r="Q10" s="5" t="n">
        <v>0</v>
      </c>
      <c r="R10" s="5" t="n">
        <v>0</v>
      </c>
      <c r="S10" s="5" t="n">
        <v>0</v>
      </c>
      <c r="T10" s="5" t="n">
        <v>0</v>
      </c>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n">
        <v>1</v>
      </c>
      <c r="D11" s="5" t="n">
        <v>0</v>
      </c>
      <c r="E11" s="5" t="n">
        <v>0</v>
      </c>
      <c r="F11" s="5" t="n">
        <v>0</v>
      </c>
      <c r="G11" s="5" t="n">
        <v>1</v>
      </c>
      <c r="H11" s="5" t="n">
        <v>0</v>
      </c>
      <c r="I11" s="5" t="n">
        <v>1</v>
      </c>
      <c r="J11" s="5" t="n">
        <v>0</v>
      </c>
      <c r="K11" s="5" t="n">
        <v>0</v>
      </c>
      <c r="L11" s="5" t="n">
        <v>0</v>
      </c>
      <c r="M11" s="5" t="n">
        <v>0</v>
      </c>
      <c r="N11" s="5" t="n">
        <v>0</v>
      </c>
      <c r="O11" s="5" t="n">
        <v>0</v>
      </c>
      <c r="P11" s="5" t="n">
        <v>0</v>
      </c>
      <c r="Q11" s="5" t="n">
        <v>0</v>
      </c>
      <c r="R11" s="5" t="n">
        <v>0</v>
      </c>
      <c r="S11" s="5" t="n">
        <v>0</v>
      </c>
      <c r="T11" s="5" t="n">
        <v>0</v>
      </c>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n">
        <v>0</v>
      </c>
      <c r="D12" s="5" t="n">
        <v>0</v>
      </c>
      <c r="E12" s="5" t="n">
        <v>0</v>
      </c>
      <c r="F12" s="5" t="n">
        <v>0</v>
      </c>
      <c r="G12" s="5" t="n">
        <v>1</v>
      </c>
      <c r="H12" s="5" t="n">
        <v>0</v>
      </c>
      <c r="I12" s="5" t="n">
        <v>0</v>
      </c>
      <c r="J12" s="5" t="n">
        <v>0</v>
      </c>
      <c r="K12" s="5" t="n">
        <v>0</v>
      </c>
      <c r="L12" s="5" t="n">
        <v>0</v>
      </c>
      <c r="M12" s="5" t="n">
        <v>1</v>
      </c>
      <c r="N12" s="5" t="n">
        <v>0</v>
      </c>
      <c r="O12" s="5" t="n">
        <v>0</v>
      </c>
      <c r="P12" s="5" t="n">
        <v>0</v>
      </c>
      <c r="Q12" s="5" t="n">
        <v>0</v>
      </c>
      <c r="R12" s="5" t="n">
        <v>0</v>
      </c>
      <c r="S12" s="5" t="n">
        <v>0</v>
      </c>
      <c r="T12" s="5" t="n">
        <v>0</v>
      </c>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n">
        <v>1</v>
      </c>
      <c r="D13" s="5" t="n">
        <v>0</v>
      </c>
      <c r="E13" s="5" t="n">
        <v>0</v>
      </c>
      <c r="F13" s="5" t="n">
        <v>0</v>
      </c>
      <c r="G13" s="5" t="n">
        <v>1</v>
      </c>
      <c r="H13" s="5" t="n">
        <v>0</v>
      </c>
      <c r="I13" s="5" t="n">
        <v>0</v>
      </c>
      <c r="J13" s="5" t="n">
        <v>0</v>
      </c>
      <c r="K13" s="5" t="n">
        <v>0</v>
      </c>
      <c r="L13" s="5" t="n">
        <v>0</v>
      </c>
      <c r="M13" s="5" t="n">
        <v>0</v>
      </c>
      <c r="N13" s="5" t="n">
        <v>0</v>
      </c>
      <c r="O13" s="5" t="n">
        <v>0</v>
      </c>
      <c r="P13" s="5" t="n">
        <v>0</v>
      </c>
      <c r="Q13" s="5" t="n">
        <v>0</v>
      </c>
      <c r="R13" s="5" t="n">
        <v>0</v>
      </c>
      <c r="S13" s="5" t="n">
        <v>0</v>
      </c>
      <c r="T13" s="5" t="n">
        <v>0</v>
      </c>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23.85" hidden="false" customHeight="false" outlineLevel="0" collapsed="false">
      <c r="A14" s="5" t="n">
        <v>13</v>
      </c>
      <c r="B14" s="5" t="s">
        <v>860</v>
      </c>
      <c r="C14" s="5" t="n">
        <v>1</v>
      </c>
      <c r="D14" s="5" t="n">
        <v>0</v>
      </c>
      <c r="E14" s="5" t="n">
        <v>0</v>
      </c>
      <c r="F14" s="5" t="n">
        <v>0</v>
      </c>
      <c r="G14" s="5" t="n">
        <v>1</v>
      </c>
      <c r="H14" s="5" t="n">
        <v>1</v>
      </c>
      <c r="I14" s="5" t="n">
        <v>1</v>
      </c>
      <c r="J14" s="5" t="n">
        <v>0</v>
      </c>
      <c r="K14" s="5" t="n">
        <v>0</v>
      </c>
      <c r="L14" s="5" t="n">
        <v>0</v>
      </c>
      <c r="M14" s="5" t="n">
        <v>0</v>
      </c>
      <c r="N14" s="5" t="n">
        <v>0</v>
      </c>
      <c r="O14" s="5" t="n">
        <v>0</v>
      </c>
      <c r="P14" s="5" t="n">
        <v>1</v>
      </c>
      <c r="Q14" s="5" t="n">
        <v>0</v>
      </c>
      <c r="R14" s="5" t="n">
        <v>0</v>
      </c>
      <c r="S14" s="5" t="n">
        <v>0</v>
      </c>
      <c r="T14" s="5" t="n">
        <v>0</v>
      </c>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23.85" hidden="false" customHeight="false" outlineLevel="0" collapsed="false">
      <c r="A15" s="5" t="n">
        <v>14</v>
      </c>
      <c r="B15" s="5" t="s">
        <v>864</v>
      </c>
      <c r="C15" s="5" t="n">
        <v>1</v>
      </c>
      <c r="D15" s="5" t="n">
        <v>0</v>
      </c>
      <c r="E15" s="5" t="n">
        <v>0</v>
      </c>
      <c r="F15" s="5" t="n">
        <v>0</v>
      </c>
      <c r="G15" s="5" t="n">
        <v>1</v>
      </c>
      <c r="H15" s="5" t="n">
        <v>0</v>
      </c>
      <c r="I15" s="5" t="n">
        <v>1</v>
      </c>
      <c r="J15" s="5" t="n">
        <v>0</v>
      </c>
      <c r="K15" s="5" t="n">
        <v>0</v>
      </c>
      <c r="L15" s="5" t="n">
        <v>0</v>
      </c>
      <c r="M15" s="5" t="n">
        <v>0</v>
      </c>
      <c r="N15" s="5" t="n">
        <v>0</v>
      </c>
      <c r="O15" s="5" t="n">
        <v>0</v>
      </c>
      <c r="P15" s="5" t="n">
        <v>0</v>
      </c>
      <c r="Q15" s="5" t="n">
        <v>0</v>
      </c>
      <c r="R15" s="5" t="n">
        <v>0</v>
      </c>
      <c r="S15" s="5" t="n">
        <v>0</v>
      </c>
      <c r="T15" s="5" t="n">
        <v>0</v>
      </c>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n">
        <v>0</v>
      </c>
      <c r="D16" s="5" t="n">
        <v>0</v>
      </c>
      <c r="E16" s="5" t="n">
        <v>0</v>
      </c>
      <c r="F16" s="5" t="n">
        <v>0</v>
      </c>
      <c r="G16" s="5" t="n">
        <v>0</v>
      </c>
      <c r="H16" s="5" t="n">
        <v>1</v>
      </c>
      <c r="I16" s="5" t="n">
        <v>0</v>
      </c>
      <c r="J16" s="5" t="n">
        <v>0</v>
      </c>
      <c r="K16" s="5" t="n">
        <v>0</v>
      </c>
      <c r="L16" s="5" t="n">
        <v>0</v>
      </c>
      <c r="M16" s="5" t="n">
        <v>0</v>
      </c>
      <c r="N16" s="5" t="n">
        <v>0</v>
      </c>
      <c r="O16" s="5" t="n">
        <v>0</v>
      </c>
      <c r="P16" s="5" t="n">
        <v>0</v>
      </c>
      <c r="Q16" s="5" t="n">
        <v>0</v>
      </c>
      <c r="R16" s="5" t="n">
        <v>0</v>
      </c>
      <c r="S16" s="5" t="n">
        <v>0</v>
      </c>
      <c r="T16" s="5" t="n">
        <v>0</v>
      </c>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23.85" hidden="false" customHeight="false" outlineLevel="0" collapsed="false">
      <c r="A17" s="5" t="n">
        <v>16</v>
      </c>
      <c r="B17" s="5" t="s">
        <v>869</v>
      </c>
      <c r="C17" s="5" t="n">
        <v>1</v>
      </c>
      <c r="D17" s="5" t="n">
        <v>1</v>
      </c>
      <c r="E17" s="5" t="n">
        <v>0</v>
      </c>
      <c r="F17" s="5" t="n">
        <v>1</v>
      </c>
      <c r="G17" s="5" t="n">
        <v>1</v>
      </c>
      <c r="H17" s="5" t="n">
        <v>0</v>
      </c>
      <c r="I17" s="5" t="n">
        <v>0</v>
      </c>
      <c r="J17" s="5" t="n">
        <v>0</v>
      </c>
      <c r="K17" s="5" t="n">
        <v>0</v>
      </c>
      <c r="L17" s="5" t="n">
        <v>0</v>
      </c>
      <c r="M17" s="5" t="n">
        <v>1</v>
      </c>
      <c r="N17" s="5" t="n">
        <v>0</v>
      </c>
      <c r="O17" s="5" t="n">
        <v>0</v>
      </c>
      <c r="P17" s="5" t="n">
        <v>0</v>
      </c>
      <c r="Q17" s="5" t="n">
        <v>0</v>
      </c>
      <c r="R17" s="5" t="n">
        <v>0</v>
      </c>
      <c r="S17" s="5" t="n">
        <v>0</v>
      </c>
      <c r="T17" s="5" t="n">
        <v>0</v>
      </c>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n">
        <v>0</v>
      </c>
      <c r="D18" s="5" t="n">
        <v>0</v>
      </c>
      <c r="E18" s="5" t="n">
        <v>0</v>
      </c>
      <c r="F18" s="5" t="n">
        <v>0</v>
      </c>
      <c r="G18" s="5" t="n">
        <v>0</v>
      </c>
      <c r="H18" s="5" t="n">
        <v>0</v>
      </c>
      <c r="I18" s="5" t="n">
        <v>0</v>
      </c>
      <c r="J18" s="5" t="n">
        <v>0</v>
      </c>
      <c r="K18" s="5" t="n">
        <v>0</v>
      </c>
      <c r="L18" s="5" t="n">
        <v>0</v>
      </c>
      <c r="M18" s="5" t="n">
        <v>1</v>
      </c>
      <c r="N18" s="5" t="n">
        <v>0</v>
      </c>
      <c r="O18" s="5" t="n">
        <v>1</v>
      </c>
      <c r="P18" s="5" t="n">
        <v>0</v>
      </c>
      <c r="Q18" s="5" t="n">
        <v>0</v>
      </c>
      <c r="R18" s="5" t="n">
        <v>0</v>
      </c>
      <c r="S18" s="5" t="n">
        <v>0</v>
      </c>
      <c r="T18" s="5" t="n">
        <v>0</v>
      </c>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n">
        <v>1</v>
      </c>
      <c r="D19" s="5" t="n">
        <v>0</v>
      </c>
      <c r="E19" s="5" t="n">
        <v>0</v>
      </c>
      <c r="F19" s="5" t="n">
        <v>0</v>
      </c>
      <c r="G19" s="5" t="n">
        <v>0</v>
      </c>
      <c r="H19" s="5" t="n">
        <v>0</v>
      </c>
      <c r="I19" s="5" t="n">
        <v>0</v>
      </c>
      <c r="J19" s="5" t="n">
        <v>0</v>
      </c>
      <c r="K19" s="5" t="n">
        <v>0</v>
      </c>
      <c r="L19" s="5" t="n">
        <v>0</v>
      </c>
      <c r="M19" s="5" t="n">
        <v>0</v>
      </c>
      <c r="N19" s="5" t="n">
        <v>0</v>
      </c>
      <c r="O19" s="5" t="n">
        <v>0</v>
      </c>
      <c r="P19" s="5" t="n">
        <v>0</v>
      </c>
      <c r="Q19" s="5" t="n">
        <v>0</v>
      </c>
      <c r="R19" s="5" t="n">
        <v>0</v>
      </c>
      <c r="S19" s="5" t="n">
        <v>0</v>
      </c>
      <c r="T19" s="5" t="n">
        <v>0</v>
      </c>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23.85" hidden="false" customHeight="false" outlineLevel="0" collapsed="false">
      <c r="A20" s="5" t="n">
        <v>19</v>
      </c>
      <c r="B20" s="5" t="s">
        <v>882</v>
      </c>
      <c r="C20" s="5" t="n">
        <v>1</v>
      </c>
      <c r="D20" s="5" t="n">
        <v>0</v>
      </c>
      <c r="E20" s="5" t="n">
        <v>0</v>
      </c>
      <c r="F20" s="5" t="n">
        <v>0</v>
      </c>
      <c r="G20" s="5" t="n">
        <v>1</v>
      </c>
      <c r="H20" s="5" t="n">
        <v>0</v>
      </c>
      <c r="I20" s="5" t="n">
        <v>0</v>
      </c>
      <c r="J20" s="5" t="n">
        <v>0</v>
      </c>
      <c r="K20" s="5" t="n">
        <v>0</v>
      </c>
      <c r="L20" s="5" t="n">
        <v>0</v>
      </c>
      <c r="M20" s="5" t="n">
        <v>0</v>
      </c>
      <c r="N20" s="5" t="n">
        <v>0</v>
      </c>
      <c r="O20" s="5" t="n">
        <v>0</v>
      </c>
      <c r="P20" s="5" t="n">
        <v>0</v>
      </c>
      <c r="Q20" s="5" t="n">
        <v>0</v>
      </c>
      <c r="R20" s="5" t="n">
        <v>0</v>
      </c>
      <c r="S20" s="5" t="n">
        <v>0</v>
      </c>
      <c r="T20" s="5" t="n">
        <v>0</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n">
        <v>0</v>
      </c>
      <c r="D21" s="5" t="n">
        <v>0</v>
      </c>
      <c r="E21" s="5" t="n">
        <v>0</v>
      </c>
      <c r="F21" s="5" t="n">
        <v>0</v>
      </c>
      <c r="G21" s="5" t="n">
        <v>1</v>
      </c>
      <c r="H21" s="5" t="n">
        <v>0</v>
      </c>
      <c r="I21" s="5" t="n">
        <v>0</v>
      </c>
      <c r="J21" s="5" t="n">
        <v>0</v>
      </c>
      <c r="K21" s="5" t="n">
        <v>0</v>
      </c>
      <c r="L21" s="5" t="n">
        <v>0</v>
      </c>
      <c r="M21" s="5" t="n">
        <v>0</v>
      </c>
      <c r="N21" s="5" t="n">
        <v>0</v>
      </c>
      <c r="O21" s="5" t="n">
        <v>0</v>
      </c>
      <c r="P21" s="5" t="n">
        <v>0</v>
      </c>
      <c r="Q21" s="5" t="n">
        <v>0</v>
      </c>
      <c r="R21" s="5" t="n">
        <v>0</v>
      </c>
      <c r="S21" s="5" t="n">
        <v>0</v>
      </c>
      <c r="T21" s="5" t="n">
        <v>0</v>
      </c>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23.85" hidden="false" customHeight="false" outlineLevel="0" collapsed="false">
      <c r="A22" s="5" t="n">
        <v>21</v>
      </c>
      <c r="B22" s="5" t="s">
        <v>102</v>
      </c>
      <c r="C22" s="5" t="n">
        <v>0</v>
      </c>
      <c r="D22" s="5" t="n">
        <v>0</v>
      </c>
      <c r="E22" s="5" t="n">
        <v>0</v>
      </c>
      <c r="F22" s="5" t="n">
        <v>0</v>
      </c>
      <c r="G22" s="5" t="n">
        <v>1</v>
      </c>
      <c r="H22" s="5" t="n">
        <v>0</v>
      </c>
      <c r="I22" s="5" t="n">
        <v>0</v>
      </c>
      <c r="J22" s="5" t="n">
        <v>1</v>
      </c>
      <c r="K22" s="5" t="n">
        <v>0</v>
      </c>
      <c r="L22" s="5" t="n">
        <v>0</v>
      </c>
      <c r="M22" s="5" t="n">
        <v>1</v>
      </c>
      <c r="N22" s="5" t="n">
        <v>0</v>
      </c>
      <c r="O22" s="5" t="n">
        <v>0</v>
      </c>
      <c r="P22" s="5" t="n">
        <v>0</v>
      </c>
      <c r="Q22" s="5" t="n">
        <v>0</v>
      </c>
      <c r="R22" s="5" t="n">
        <v>0</v>
      </c>
      <c r="S22" s="5" t="n">
        <v>0</v>
      </c>
      <c r="T22" s="5" t="n">
        <v>0</v>
      </c>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23.85" hidden="false" customHeight="false" outlineLevel="0" collapsed="false">
      <c r="A23" s="5" t="n">
        <v>22</v>
      </c>
      <c r="B23" s="5" t="s">
        <v>892</v>
      </c>
      <c r="C23" s="5" t="n">
        <v>0</v>
      </c>
      <c r="D23" s="5" t="n">
        <v>0</v>
      </c>
      <c r="E23" s="5" t="n">
        <v>0</v>
      </c>
      <c r="F23" s="5" t="n">
        <v>0</v>
      </c>
      <c r="G23" s="5" t="n">
        <v>1</v>
      </c>
      <c r="H23" s="5" t="n">
        <v>0</v>
      </c>
      <c r="I23" s="5" t="n">
        <v>1</v>
      </c>
      <c r="J23" s="5" t="n">
        <v>1</v>
      </c>
      <c r="K23" s="5" t="n">
        <v>1</v>
      </c>
      <c r="L23" s="5" t="n">
        <v>1</v>
      </c>
      <c r="M23" s="5" t="n">
        <v>0</v>
      </c>
      <c r="N23" s="5" t="n">
        <v>0</v>
      </c>
      <c r="O23" s="5" t="n">
        <v>0</v>
      </c>
      <c r="P23" s="5" t="n">
        <v>0</v>
      </c>
      <c r="Q23" s="5" t="n">
        <v>0</v>
      </c>
      <c r="R23" s="5" t="n">
        <v>0</v>
      </c>
      <c r="S23" s="5" t="n">
        <v>0</v>
      </c>
      <c r="T23" s="5" t="n">
        <v>0</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n">
        <v>0</v>
      </c>
      <c r="D24" s="5" t="n">
        <v>0</v>
      </c>
      <c r="E24" s="5" t="n">
        <v>0</v>
      </c>
      <c r="F24" s="5" t="n">
        <v>0</v>
      </c>
      <c r="G24" s="5" t="n">
        <v>1</v>
      </c>
      <c r="H24" s="5" t="n">
        <v>0</v>
      </c>
      <c r="I24" s="5" t="n">
        <v>0</v>
      </c>
      <c r="J24" s="5" t="n">
        <v>0</v>
      </c>
      <c r="K24" s="5" t="n">
        <v>0</v>
      </c>
      <c r="L24" s="5" t="n">
        <v>0</v>
      </c>
      <c r="M24" s="5" t="n">
        <v>1</v>
      </c>
      <c r="N24" s="5" t="n">
        <v>0</v>
      </c>
      <c r="O24" s="5" t="n">
        <v>0</v>
      </c>
      <c r="P24" s="5" t="n">
        <v>0</v>
      </c>
      <c r="Q24" s="5" t="n">
        <v>0</v>
      </c>
      <c r="R24" s="5" t="n">
        <v>0</v>
      </c>
      <c r="S24" s="5" t="n">
        <v>0</v>
      </c>
      <c r="T24" s="5" t="n">
        <v>0</v>
      </c>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n">
        <v>0</v>
      </c>
      <c r="D25" s="5" t="n">
        <v>0</v>
      </c>
      <c r="E25" s="5" t="n">
        <v>0</v>
      </c>
      <c r="F25" s="5" t="n">
        <v>0</v>
      </c>
      <c r="G25" s="5" t="n">
        <v>1</v>
      </c>
      <c r="H25" s="5" t="n">
        <v>0</v>
      </c>
      <c r="I25" s="5" t="n">
        <v>0</v>
      </c>
      <c r="J25" s="5" t="n">
        <v>1</v>
      </c>
      <c r="K25" s="5" t="n">
        <v>0</v>
      </c>
      <c r="L25" s="5" t="n">
        <v>0</v>
      </c>
      <c r="M25" s="5" t="n">
        <v>1</v>
      </c>
      <c r="N25" s="5" t="n">
        <v>0</v>
      </c>
      <c r="O25" s="5" t="n">
        <v>0</v>
      </c>
      <c r="P25" s="5" t="n">
        <v>0</v>
      </c>
      <c r="Q25" s="5" t="n">
        <v>0</v>
      </c>
      <c r="R25" s="5" t="n">
        <v>0</v>
      </c>
      <c r="S25" s="5" t="n">
        <v>0</v>
      </c>
      <c r="T25" s="5" t="n">
        <v>0</v>
      </c>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23.85" hidden="false" customHeight="false" outlineLevel="0" collapsed="false">
      <c r="A26" s="5" t="n">
        <v>25</v>
      </c>
      <c r="B26" s="5" t="s">
        <v>902</v>
      </c>
      <c r="C26" s="5" t="n">
        <v>1</v>
      </c>
      <c r="D26" s="5" t="n">
        <v>0</v>
      </c>
      <c r="E26" s="5" t="n">
        <v>0</v>
      </c>
      <c r="F26" s="5" t="n">
        <v>0</v>
      </c>
      <c r="G26" s="5" t="n">
        <v>1</v>
      </c>
      <c r="H26" s="5" t="n">
        <v>0</v>
      </c>
      <c r="I26" s="5" t="n">
        <v>0</v>
      </c>
      <c r="J26" s="5" t="n">
        <v>0</v>
      </c>
      <c r="K26" s="5" t="n">
        <v>0</v>
      </c>
      <c r="L26" s="5" t="n">
        <v>0</v>
      </c>
      <c r="M26" s="5" t="n">
        <v>1</v>
      </c>
      <c r="N26" s="5" t="n">
        <v>0</v>
      </c>
      <c r="O26" s="5" t="n">
        <v>0</v>
      </c>
      <c r="P26" s="5" t="n">
        <v>0</v>
      </c>
      <c r="Q26" s="5" t="n">
        <v>0</v>
      </c>
      <c r="R26" s="5" t="n">
        <v>0</v>
      </c>
      <c r="S26" s="5" t="n">
        <v>0</v>
      </c>
      <c r="T26" s="5" t="n">
        <v>0</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23.85" hidden="false" customHeight="false" outlineLevel="0" collapsed="false">
      <c r="A27" s="5" t="n">
        <v>26</v>
      </c>
      <c r="B27" s="5" t="s">
        <v>906</v>
      </c>
      <c r="C27" s="5" t="n">
        <v>1</v>
      </c>
      <c r="D27" s="5" t="n">
        <v>0</v>
      </c>
      <c r="E27" s="5" t="n">
        <v>0</v>
      </c>
      <c r="F27" s="5" t="n">
        <v>0</v>
      </c>
      <c r="G27" s="5" t="n">
        <v>1</v>
      </c>
      <c r="H27" s="5" t="n">
        <v>0</v>
      </c>
      <c r="I27" s="5" t="n">
        <v>0</v>
      </c>
      <c r="J27" s="5" t="n">
        <v>0</v>
      </c>
      <c r="K27" s="5" t="n">
        <v>0</v>
      </c>
      <c r="L27" s="5" t="n">
        <v>0</v>
      </c>
      <c r="M27" s="5" t="n">
        <v>1</v>
      </c>
      <c r="N27" s="5" t="n">
        <v>0</v>
      </c>
      <c r="O27" s="5" t="n">
        <v>0</v>
      </c>
      <c r="P27" s="5" t="n">
        <v>0</v>
      </c>
      <c r="Q27" s="5" t="n">
        <v>0</v>
      </c>
      <c r="R27" s="5" t="n">
        <v>0</v>
      </c>
      <c r="S27" s="5" t="n">
        <v>0</v>
      </c>
      <c r="T27" s="5" t="n">
        <v>0</v>
      </c>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23.85" hidden="false" customHeight="false" outlineLevel="0" collapsed="false">
      <c r="A28" s="5" t="n">
        <v>27</v>
      </c>
      <c r="B28" s="5" t="s">
        <v>115</v>
      </c>
      <c r="C28" s="5" t="n">
        <v>0</v>
      </c>
      <c r="D28" s="5" t="n">
        <v>0</v>
      </c>
      <c r="E28" s="5" t="n">
        <v>1</v>
      </c>
      <c r="F28" s="5" t="n">
        <v>0</v>
      </c>
      <c r="G28" s="5" t="n">
        <v>1</v>
      </c>
      <c r="H28" s="5" t="n">
        <v>1</v>
      </c>
      <c r="I28" s="5" t="n">
        <v>1</v>
      </c>
      <c r="J28" s="5" t="n">
        <v>1</v>
      </c>
      <c r="K28" s="5" t="n">
        <v>0</v>
      </c>
      <c r="L28" s="5" t="n">
        <v>0</v>
      </c>
      <c r="M28" s="5" t="n">
        <v>1</v>
      </c>
      <c r="N28" s="5" t="n">
        <v>0</v>
      </c>
      <c r="O28" s="5" t="n">
        <v>0</v>
      </c>
      <c r="P28" s="5" t="n">
        <v>0</v>
      </c>
      <c r="Q28" s="5" t="n">
        <v>0</v>
      </c>
      <c r="R28" s="5" t="n">
        <v>0</v>
      </c>
      <c r="S28" s="5" t="n">
        <v>0</v>
      </c>
      <c r="T28" s="5" t="n">
        <v>0</v>
      </c>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23.85" hidden="false" customHeight="false" outlineLevel="0" collapsed="false">
      <c r="A29" s="5" t="n">
        <v>28</v>
      </c>
      <c r="B29" s="5" t="s">
        <v>914</v>
      </c>
      <c r="C29" s="5" t="n">
        <v>0</v>
      </c>
      <c r="D29" s="5" t="n">
        <v>0</v>
      </c>
      <c r="E29" s="5" t="n">
        <v>0</v>
      </c>
      <c r="F29" s="5" t="n">
        <v>0</v>
      </c>
      <c r="G29" s="5" t="n">
        <v>1</v>
      </c>
      <c r="H29" s="5" t="n">
        <v>1</v>
      </c>
      <c r="I29" s="5" t="n">
        <v>0</v>
      </c>
      <c r="J29" s="5" t="n">
        <v>1</v>
      </c>
      <c r="K29" s="5" t="n">
        <v>0</v>
      </c>
      <c r="L29" s="5" t="n">
        <v>0</v>
      </c>
      <c r="M29" s="5" t="n">
        <v>0</v>
      </c>
      <c r="N29" s="5" t="n">
        <v>0</v>
      </c>
      <c r="O29" s="5" t="n">
        <v>0</v>
      </c>
      <c r="P29" s="5" t="n">
        <v>0</v>
      </c>
      <c r="Q29" s="5" t="n">
        <v>0</v>
      </c>
      <c r="R29" s="5" t="n">
        <v>0</v>
      </c>
      <c r="S29" s="5" t="n">
        <v>0</v>
      </c>
      <c r="T29" s="5" t="n">
        <v>0</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n">
        <v>0</v>
      </c>
      <c r="D30" s="5" t="n">
        <v>0</v>
      </c>
      <c r="E30" s="5" t="n">
        <v>0</v>
      </c>
      <c r="F30" s="5" t="n">
        <v>0</v>
      </c>
      <c r="G30" s="5" t="n">
        <v>1</v>
      </c>
      <c r="H30" s="5" t="n">
        <v>0</v>
      </c>
      <c r="I30" s="5" t="n">
        <v>0</v>
      </c>
      <c r="J30" s="5" t="n">
        <v>0</v>
      </c>
      <c r="K30" s="5" t="n">
        <v>0</v>
      </c>
      <c r="L30" s="5" t="n">
        <v>1</v>
      </c>
      <c r="M30" s="5" t="n">
        <v>0</v>
      </c>
      <c r="N30" s="5" t="n">
        <v>0</v>
      </c>
      <c r="O30" s="5" t="n">
        <v>0</v>
      </c>
      <c r="P30" s="5" t="n">
        <v>0</v>
      </c>
      <c r="Q30" s="5" t="n">
        <v>0</v>
      </c>
      <c r="R30" s="5" t="n">
        <v>0</v>
      </c>
      <c r="S30" s="5" t="n">
        <v>0</v>
      </c>
      <c r="T30" s="5" t="n">
        <v>0</v>
      </c>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n">
        <v>0</v>
      </c>
      <c r="D31" s="5" t="n">
        <v>0</v>
      </c>
      <c r="E31" s="5" t="n">
        <v>0</v>
      </c>
      <c r="F31" s="5" t="n">
        <v>0</v>
      </c>
      <c r="G31" s="5" t="n">
        <v>1</v>
      </c>
      <c r="H31" s="5" t="n">
        <v>0</v>
      </c>
      <c r="I31" s="5" t="n">
        <v>1</v>
      </c>
      <c r="J31" s="5" t="n">
        <v>0</v>
      </c>
      <c r="K31" s="5" t="n">
        <v>0</v>
      </c>
      <c r="L31" s="5" t="n">
        <v>0</v>
      </c>
      <c r="M31" s="5" t="n">
        <v>0</v>
      </c>
      <c r="N31" s="5" t="n">
        <v>0</v>
      </c>
      <c r="O31" s="5" t="n">
        <v>0</v>
      </c>
      <c r="P31" s="5" t="n">
        <v>0</v>
      </c>
      <c r="Q31" s="5" t="n">
        <v>0</v>
      </c>
      <c r="R31" s="5" t="n">
        <v>0</v>
      </c>
      <c r="S31" s="5" t="n">
        <v>0</v>
      </c>
      <c r="T31" s="5" t="n">
        <v>0</v>
      </c>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n">
        <v>0</v>
      </c>
      <c r="D32" s="5" t="n">
        <v>0</v>
      </c>
      <c r="E32" s="5" t="n">
        <v>0</v>
      </c>
      <c r="F32" s="5" t="n">
        <v>0</v>
      </c>
      <c r="G32" s="5" t="n">
        <v>1</v>
      </c>
      <c r="H32" s="5" t="n">
        <v>0</v>
      </c>
      <c r="I32" s="5" t="n">
        <v>0</v>
      </c>
      <c r="J32" s="5" t="n">
        <v>0</v>
      </c>
      <c r="K32" s="5" t="n">
        <v>0</v>
      </c>
      <c r="L32" s="5" t="n">
        <v>0</v>
      </c>
      <c r="M32" s="5" t="n">
        <v>0</v>
      </c>
      <c r="N32" s="5" t="n">
        <v>0</v>
      </c>
      <c r="O32" s="5" t="n">
        <v>0</v>
      </c>
      <c r="P32" s="5" t="n">
        <v>0</v>
      </c>
      <c r="Q32" s="5" t="n">
        <v>0</v>
      </c>
      <c r="R32" s="5" t="n">
        <v>0</v>
      </c>
      <c r="S32" s="5" t="n">
        <v>0</v>
      </c>
      <c r="T32" s="5" t="n">
        <v>0</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23.85" hidden="false" customHeight="false" outlineLevel="0" collapsed="false">
      <c r="A33" s="5" t="n">
        <v>32</v>
      </c>
      <c r="B33" s="5" t="s">
        <v>928</v>
      </c>
      <c r="C33" s="5" t="n">
        <v>0</v>
      </c>
      <c r="D33" s="5" t="n">
        <v>0</v>
      </c>
      <c r="E33" s="5" t="n">
        <v>0</v>
      </c>
      <c r="F33" s="5" t="n">
        <v>0</v>
      </c>
      <c r="G33" s="5" t="n">
        <v>1</v>
      </c>
      <c r="H33" s="5" t="n">
        <v>0</v>
      </c>
      <c r="I33" s="5" t="n">
        <v>0</v>
      </c>
      <c r="J33" s="5" t="n">
        <v>0</v>
      </c>
      <c r="K33" s="5" t="n">
        <v>0</v>
      </c>
      <c r="L33" s="5" t="n">
        <v>0</v>
      </c>
      <c r="M33" s="5" t="n">
        <v>1</v>
      </c>
      <c r="N33" s="5" t="n">
        <v>0</v>
      </c>
      <c r="O33" s="5" t="n">
        <v>0</v>
      </c>
      <c r="P33" s="5" t="n">
        <v>0</v>
      </c>
      <c r="Q33" s="5" t="n">
        <v>0</v>
      </c>
      <c r="R33" s="5" t="n">
        <v>0</v>
      </c>
      <c r="S33" s="5" t="n">
        <v>0</v>
      </c>
      <c r="T33" s="5" t="n">
        <v>0</v>
      </c>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n">
        <v>1</v>
      </c>
      <c r="D34" s="5" t="n">
        <v>0</v>
      </c>
      <c r="E34" s="5" t="n">
        <v>0</v>
      </c>
      <c r="F34" s="5" t="n">
        <v>0</v>
      </c>
      <c r="G34" s="5" t="n">
        <v>1</v>
      </c>
      <c r="H34" s="5" t="n">
        <v>0</v>
      </c>
      <c r="I34" s="5" t="n">
        <v>0</v>
      </c>
      <c r="J34" s="5" t="n">
        <v>0</v>
      </c>
      <c r="K34" s="5" t="n">
        <v>0</v>
      </c>
      <c r="L34" s="5" t="n">
        <v>0</v>
      </c>
      <c r="M34" s="5" t="n">
        <v>0</v>
      </c>
      <c r="N34" s="5" t="n">
        <v>0</v>
      </c>
      <c r="O34" s="5" t="n">
        <v>0</v>
      </c>
      <c r="P34" s="5" t="n">
        <v>0</v>
      </c>
      <c r="Q34" s="5" t="n">
        <v>0</v>
      </c>
      <c r="R34" s="5" t="n">
        <v>0</v>
      </c>
      <c r="S34" s="5" t="n">
        <v>0</v>
      </c>
      <c r="T34" s="5" t="n">
        <v>0</v>
      </c>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n">
        <v>0</v>
      </c>
      <c r="D35" s="5" t="n">
        <v>0</v>
      </c>
      <c r="E35" s="5" t="n">
        <v>0</v>
      </c>
      <c r="F35" s="5" t="n">
        <v>0</v>
      </c>
      <c r="G35" s="5" t="n">
        <v>1</v>
      </c>
      <c r="H35" s="5" t="n">
        <v>1</v>
      </c>
      <c r="I35" s="5" t="n">
        <v>1</v>
      </c>
      <c r="J35" s="5" t="n">
        <v>0</v>
      </c>
      <c r="K35" s="5" t="n">
        <v>0</v>
      </c>
      <c r="L35" s="5" t="n">
        <v>0</v>
      </c>
      <c r="M35" s="5" t="n">
        <v>0</v>
      </c>
      <c r="N35" s="5" t="n">
        <v>0</v>
      </c>
      <c r="O35" s="5" t="n">
        <v>0</v>
      </c>
      <c r="P35" s="5" t="n">
        <v>0</v>
      </c>
      <c r="Q35" s="5" t="n">
        <v>0</v>
      </c>
      <c r="R35" s="5" t="n">
        <v>0</v>
      </c>
      <c r="S35" s="5" t="n">
        <v>0</v>
      </c>
      <c r="T35" s="5" t="n">
        <v>0</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15" hidden="false" customHeight="false" outlineLevel="0" collapsed="false">
      <c r="A36" s="5" t="n">
        <v>35</v>
      </c>
      <c r="B36" s="5" t="s">
        <v>132</v>
      </c>
      <c r="C36" s="5" t="n">
        <v>0</v>
      </c>
      <c r="D36" s="5" t="n">
        <v>0</v>
      </c>
      <c r="E36" s="5" t="n">
        <v>0</v>
      </c>
      <c r="F36" s="5" t="n">
        <v>0</v>
      </c>
      <c r="G36" s="5" t="n">
        <v>1</v>
      </c>
      <c r="H36" s="5" t="n">
        <v>0</v>
      </c>
      <c r="I36" s="5" t="n">
        <v>0</v>
      </c>
      <c r="J36" s="5" t="n">
        <v>1</v>
      </c>
      <c r="K36" s="5" t="n">
        <v>0</v>
      </c>
      <c r="L36" s="5" t="n">
        <v>0</v>
      </c>
      <c r="M36" s="5" t="n">
        <v>0</v>
      </c>
      <c r="N36" s="5" t="n">
        <v>0</v>
      </c>
      <c r="O36" s="5" t="n">
        <v>0</v>
      </c>
      <c r="P36" s="5" t="n">
        <v>0</v>
      </c>
      <c r="Q36" s="5" t="n">
        <v>0</v>
      </c>
      <c r="R36" s="5" t="n">
        <v>0</v>
      </c>
      <c r="S36" s="5" t="n">
        <v>0</v>
      </c>
      <c r="T36" s="5" t="n">
        <v>0</v>
      </c>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23.85" hidden="false" customHeight="false" outlineLevel="0" collapsed="false">
      <c r="A37" s="5" t="n">
        <v>36</v>
      </c>
      <c r="B37" s="5" t="s">
        <v>134</v>
      </c>
      <c r="C37" s="5" t="n">
        <v>0</v>
      </c>
      <c r="D37" s="5" t="n">
        <v>0</v>
      </c>
      <c r="E37" s="5" t="n">
        <v>0</v>
      </c>
      <c r="F37" s="5" t="n">
        <v>0</v>
      </c>
      <c r="G37" s="5" t="n">
        <v>0</v>
      </c>
      <c r="H37" s="5" t="n">
        <v>1</v>
      </c>
      <c r="I37" s="5" t="n">
        <v>0</v>
      </c>
      <c r="J37" s="5" t="n">
        <v>0</v>
      </c>
      <c r="K37" s="5" t="n">
        <v>0</v>
      </c>
      <c r="L37" s="5" t="n">
        <v>0</v>
      </c>
      <c r="M37" s="5" t="n">
        <v>1</v>
      </c>
      <c r="N37" s="5" t="n">
        <v>0</v>
      </c>
      <c r="O37" s="5" t="n">
        <v>0</v>
      </c>
      <c r="P37" s="5" t="n">
        <v>0</v>
      </c>
      <c r="Q37" s="5" t="n">
        <v>0</v>
      </c>
      <c r="R37" s="5" t="n">
        <v>0</v>
      </c>
      <c r="S37" s="5" t="n">
        <v>0</v>
      </c>
      <c r="T37" s="5" t="n">
        <v>0</v>
      </c>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n">
        <v>0</v>
      </c>
      <c r="D38" s="5" t="n">
        <v>0</v>
      </c>
      <c r="E38" s="5" t="n">
        <v>0</v>
      </c>
      <c r="F38" s="5" t="n">
        <v>0</v>
      </c>
      <c r="G38" s="5" t="n">
        <v>1</v>
      </c>
      <c r="H38" s="5" t="n">
        <v>0</v>
      </c>
      <c r="I38" s="5" t="n">
        <v>1</v>
      </c>
      <c r="J38" s="5" t="n">
        <v>0</v>
      </c>
      <c r="K38" s="5" t="n">
        <v>0</v>
      </c>
      <c r="L38" s="5" t="n">
        <v>0</v>
      </c>
      <c r="M38" s="5" t="n">
        <v>1</v>
      </c>
      <c r="N38" s="5" t="n">
        <v>0</v>
      </c>
      <c r="O38" s="5" t="n">
        <v>0</v>
      </c>
      <c r="P38" s="5" t="n">
        <v>0</v>
      </c>
      <c r="Q38" s="5" t="n">
        <v>0</v>
      </c>
      <c r="R38" s="5" t="n">
        <v>0</v>
      </c>
      <c r="S38" s="5" t="n">
        <v>0</v>
      </c>
      <c r="T38" s="5" t="n">
        <v>0</v>
      </c>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n">
        <v>0</v>
      </c>
      <c r="D39" s="5" t="n">
        <v>0</v>
      </c>
      <c r="E39" s="5" t="n">
        <v>0</v>
      </c>
      <c r="F39" s="5" t="n">
        <v>0</v>
      </c>
      <c r="G39" s="5" t="n">
        <v>0</v>
      </c>
      <c r="H39" s="5" t="n">
        <v>1</v>
      </c>
      <c r="I39" s="5" t="n">
        <v>0</v>
      </c>
      <c r="J39" s="5" t="n">
        <v>0</v>
      </c>
      <c r="K39" s="5" t="n">
        <v>0</v>
      </c>
      <c r="L39" s="5" t="n">
        <v>0</v>
      </c>
      <c r="M39" s="5" t="n">
        <v>0</v>
      </c>
      <c r="N39" s="5" t="n">
        <v>1</v>
      </c>
      <c r="O39" s="5" t="n">
        <v>0</v>
      </c>
      <c r="P39" s="5" t="n">
        <v>0</v>
      </c>
      <c r="Q39" s="5" t="n">
        <v>0</v>
      </c>
      <c r="R39" s="5" t="n">
        <v>0</v>
      </c>
      <c r="S39" s="5" t="n">
        <v>0</v>
      </c>
      <c r="T39" s="5" t="n">
        <v>0</v>
      </c>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n">
        <v>0</v>
      </c>
      <c r="D40" s="5" t="n">
        <v>0</v>
      </c>
      <c r="E40" s="5" t="n">
        <v>0</v>
      </c>
      <c r="F40" s="5" t="n">
        <v>0</v>
      </c>
      <c r="G40" s="5" t="n">
        <v>1</v>
      </c>
      <c r="H40" s="5" t="n">
        <v>0</v>
      </c>
      <c r="I40" s="5" t="n">
        <v>0</v>
      </c>
      <c r="J40" s="5" t="n">
        <v>0</v>
      </c>
      <c r="K40" s="5" t="n">
        <v>0</v>
      </c>
      <c r="L40" s="5" t="n">
        <v>0</v>
      </c>
      <c r="M40" s="5" t="n">
        <v>0</v>
      </c>
      <c r="N40" s="5" t="n">
        <v>0</v>
      </c>
      <c r="O40" s="5" t="n">
        <v>0</v>
      </c>
      <c r="P40" s="5" t="n">
        <v>0</v>
      </c>
      <c r="Q40" s="5" t="n">
        <v>0</v>
      </c>
      <c r="R40" s="5" t="n">
        <v>0</v>
      </c>
      <c r="S40" s="5" t="n">
        <v>0</v>
      </c>
      <c r="T40" s="5" t="n">
        <v>0</v>
      </c>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23.85" hidden="false" customHeight="false" outlineLevel="0" collapsed="false">
      <c r="A41" s="5" t="n">
        <v>40</v>
      </c>
      <c r="B41" s="5" t="s">
        <v>952</v>
      </c>
      <c r="C41" s="5" t="n">
        <v>1</v>
      </c>
      <c r="D41" s="5" t="n">
        <v>0</v>
      </c>
      <c r="E41" s="5" t="n">
        <v>0</v>
      </c>
      <c r="F41" s="5" t="n">
        <v>0</v>
      </c>
      <c r="G41" s="5" t="n">
        <v>1</v>
      </c>
      <c r="H41" s="5" t="n">
        <v>0</v>
      </c>
      <c r="I41" s="5" t="n">
        <v>1</v>
      </c>
      <c r="J41" s="5" t="n">
        <v>0</v>
      </c>
      <c r="K41" s="5" t="n">
        <v>0</v>
      </c>
      <c r="L41" s="5" t="n">
        <v>0</v>
      </c>
      <c r="M41" s="5" t="n">
        <v>0</v>
      </c>
      <c r="N41" s="5" t="n">
        <v>0</v>
      </c>
      <c r="O41" s="5" t="n">
        <v>0</v>
      </c>
      <c r="P41" s="5" t="n">
        <v>0</v>
      </c>
      <c r="Q41" s="5" t="n">
        <v>0</v>
      </c>
      <c r="R41" s="5" t="n">
        <v>0</v>
      </c>
      <c r="S41" s="5" t="n">
        <v>0</v>
      </c>
      <c r="T41" s="5" t="n">
        <v>0</v>
      </c>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n">
        <v>0</v>
      </c>
      <c r="D42" s="5" t="n">
        <v>0</v>
      </c>
      <c r="E42" s="5" t="n">
        <v>0</v>
      </c>
      <c r="F42" s="5" t="n">
        <v>0</v>
      </c>
      <c r="G42" s="5" t="n">
        <v>1</v>
      </c>
      <c r="H42" s="5" t="n">
        <v>1</v>
      </c>
      <c r="I42" s="5" t="n">
        <v>0</v>
      </c>
      <c r="J42" s="5" t="n">
        <v>0</v>
      </c>
      <c r="K42" s="5" t="n">
        <v>0</v>
      </c>
      <c r="L42" s="5" t="n">
        <v>0</v>
      </c>
      <c r="M42" s="5" t="n">
        <v>0</v>
      </c>
      <c r="N42" s="5" t="n">
        <v>0</v>
      </c>
      <c r="O42" s="5" t="n">
        <v>0</v>
      </c>
      <c r="P42" s="5" t="n">
        <v>0</v>
      </c>
      <c r="Q42" s="5" t="n">
        <v>0</v>
      </c>
      <c r="R42" s="5" t="n">
        <v>0</v>
      </c>
      <c r="S42" s="5" t="n">
        <v>0</v>
      </c>
      <c r="T42" s="5" t="n">
        <v>0</v>
      </c>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n">
        <v>0</v>
      </c>
      <c r="D43" s="5" t="n">
        <v>0</v>
      </c>
      <c r="E43" s="5" t="n">
        <v>0</v>
      </c>
      <c r="F43" s="5" t="n">
        <v>0</v>
      </c>
      <c r="G43" s="5" t="n">
        <v>1</v>
      </c>
      <c r="H43" s="5" t="n">
        <v>0</v>
      </c>
      <c r="I43" s="5" t="n">
        <v>1</v>
      </c>
      <c r="J43" s="5" t="n">
        <v>0</v>
      </c>
      <c r="K43" s="5" t="n">
        <v>0</v>
      </c>
      <c r="L43" s="5" t="n">
        <v>0</v>
      </c>
      <c r="M43" s="5" t="n">
        <v>1</v>
      </c>
      <c r="N43" s="5" t="n">
        <v>0</v>
      </c>
      <c r="O43" s="5" t="n">
        <v>0</v>
      </c>
      <c r="P43" s="5" t="n">
        <v>0</v>
      </c>
      <c r="Q43" s="5" t="n">
        <v>0</v>
      </c>
      <c r="R43" s="5" t="n">
        <v>0</v>
      </c>
      <c r="S43" s="5" t="n">
        <v>0</v>
      </c>
      <c r="T43" s="5" t="n">
        <v>0</v>
      </c>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n">
        <v>1</v>
      </c>
      <c r="D44" s="5" t="n">
        <v>0</v>
      </c>
      <c r="E44" s="5" t="n">
        <v>0</v>
      </c>
      <c r="F44" s="5" t="n">
        <v>0</v>
      </c>
      <c r="G44" s="5" t="n">
        <v>0</v>
      </c>
      <c r="H44" s="5" t="n">
        <v>0</v>
      </c>
      <c r="I44" s="5" t="n">
        <v>1</v>
      </c>
      <c r="J44" s="5" t="n">
        <v>0</v>
      </c>
      <c r="K44" s="5" t="n">
        <v>0</v>
      </c>
      <c r="L44" s="5" t="n">
        <v>0</v>
      </c>
      <c r="M44" s="5" t="n">
        <v>0</v>
      </c>
      <c r="N44" s="5" t="n">
        <v>0</v>
      </c>
      <c r="O44" s="5" t="n">
        <v>0</v>
      </c>
      <c r="P44" s="5" t="n">
        <v>0</v>
      </c>
      <c r="Q44" s="5" t="n">
        <v>0</v>
      </c>
      <c r="R44" s="5" t="n">
        <v>0</v>
      </c>
      <c r="S44" s="5" t="n">
        <v>0</v>
      </c>
      <c r="T44" s="5" t="n">
        <v>0</v>
      </c>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n">
        <v>0</v>
      </c>
      <c r="D45" s="5" t="n">
        <v>0</v>
      </c>
      <c r="E45" s="5" t="n">
        <v>0</v>
      </c>
      <c r="F45" s="5" t="n">
        <v>0</v>
      </c>
      <c r="G45" s="5" t="n">
        <v>1</v>
      </c>
      <c r="H45" s="5" t="n">
        <v>0</v>
      </c>
      <c r="I45" s="5" t="n">
        <v>1</v>
      </c>
      <c r="J45" s="5" t="n">
        <v>0</v>
      </c>
      <c r="K45" s="5" t="n">
        <v>0</v>
      </c>
      <c r="L45" s="5" t="n">
        <v>0</v>
      </c>
      <c r="M45" s="5" t="n">
        <v>0</v>
      </c>
      <c r="N45" s="5" t="n">
        <v>0</v>
      </c>
      <c r="O45" s="5" t="n">
        <v>0</v>
      </c>
      <c r="P45" s="5" t="n">
        <v>0</v>
      </c>
      <c r="Q45" s="5" t="n">
        <v>0</v>
      </c>
      <c r="R45" s="5" t="n">
        <v>0</v>
      </c>
      <c r="S45" s="5" t="n">
        <v>0</v>
      </c>
      <c r="T45" s="5" t="n">
        <v>0</v>
      </c>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23.85" hidden="false" customHeight="false" outlineLevel="0" collapsed="false">
      <c r="A46" s="5" t="n">
        <v>45</v>
      </c>
      <c r="B46" s="5" t="s">
        <v>968</v>
      </c>
      <c r="C46" s="5" t="n">
        <v>0</v>
      </c>
      <c r="D46" s="5" t="n">
        <v>0</v>
      </c>
      <c r="E46" s="5" t="n">
        <v>0</v>
      </c>
      <c r="F46" s="5" t="n">
        <v>0</v>
      </c>
      <c r="G46" s="5" t="n">
        <v>1</v>
      </c>
      <c r="H46" s="5" t="n">
        <v>0</v>
      </c>
      <c r="I46" s="5" t="n">
        <v>1</v>
      </c>
      <c r="J46" s="5" t="n">
        <v>1</v>
      </c>
      <c r="K46" s="5" t="n">
        <v>0</v>
      </c>
      <c r="L46" s="5" t="n">
        <v>0</v>
      </c>
      <c r="M46" s="5" t="n">
        <v>0</v>
      </c>
      <c r="N46" s="5" t="n">
        <v>0</v>
      </c>
      <c r="O46" s="5" t="n">
        <v>0</v>
      </c>
      <c r="P46" s="5" t="n">
        <v>0</v>
      </c>
      <c r="Q46" s="5" t="n">
        <v>0</v>
      </c>
      <c r="R46" s="5" t="n">
        <v>0</v>
      </c>
      <c r="S46" s="5" t="n">
        <v>0</v>
      </c>
      <c r="T46" s="5" t="n">
        <v>0</v>
      </c>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n">
        <v>0</v>
      </c>
      <c r="D47" s="5" t="n">
        <v>0</v>
      </c>
      <c r="E47" s="5" t="n">
        <v>0</v>
      </c>
      <c r="F47" s="5" t="n">
        <v>0</v>
      </c>
      <c r="G47" s="5" t="n">
        <v>1</v>
      </c>
      <c r="H47" s="5" t="n">
        <v>0</v>
      </c>
      <c r="I47" s="5" t="n">
        <v>0</v>
      </c>
      <c r="J47" s="5" t="n">
        <v>0</v>
      </c>
      <c r="K47" s="5" t="n">
        <v>0</v>
      </c>
      <c r="L47" s="5" t="n">
        <v>0</v>
      </c>
      <c r="M47" s="5" t="n">
        <v>1</v>
      </c>
      <c r="N47" s="5" t="n">
        <v>0</v>
      </c>
      <c r="O47" s="5" t="n">
        <v>0</v>
      </c>
      <c r="P47" s="5" t="n">
        <v>0</v>
      </c>
      <c r="Q47" s="5" t="n">
        <v>0</v>
      </c>
      <c r="R47" s="5" t="n">
        <v>0</v>
      </c>
      <c r="S47" s="5" t="n">
        <v>1</v>
      </c>
      <c r="T47" s="5" t="n">
        <v>0</v>
      </c>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23.85" hidden="false" customHeight="false" outlineLevel="0" collapsed="false">
      <c r="A48" s="5" t="n">
        <v>47</v>
      </c>
      <c r="B48" s="5" t="s">
        <v>973</v>
      </c>
      <c r="C48" s="5" t="n">
        <v>0</v>
      </c>
      <c r="D48" s="5" t="n">
        <v>0</v>
      </c>
      <c r="E48" s="5" t="n">
        <v>0</v>
      </c>
      <c r="F48" s="5" t="n">
        <v>0</v>
      </c>
      <c r="G48" s="5" t="n">
        <v>1</v>
      </c>
      <c r="H48" s="5" t="n">
        <v>1</v>
      </c>
      <c r="I48" s="5" t="n">
        <v>0</v>
      </c>
      <c r="J48" s="5" t="n">
        <v>0</v>
      </c>
      <c r="K48" s="5" t="n">
        <v>0</v>
      </c>
      <c r="L48" s="5" t="n">
        <v>0</v>
      </c>
      <c r="M48" s="5" t="n">
        <v>1</v>
      </c>
      <c r="N48" s="5" t="n">
        <v>0</v>
      </c>
      <c r="O48" s="5" t="n">
        <v>0</v>
      </c>
      <c r="P48" s="5" t="n">
        <v>0</v>
      </c>
      <c r="Q48" s="5" t="n">
        <v>0</v>
      </c>
      <c r="R48" s="5" t="n">
        <v>0</v>
      </c>
      <c r="S48" s="5" t="n">
        <v>0</v>
      </c>
      <c r="T48" s="5" t="n">
        <v>0</v>
      </c>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n">
        <v>0</v>
      </c>
      <c r="D49" s="5" t="n">
        <v>0</v>
      </c>
      <c r="E49" s="5" t="n">
        <v>0</v>
      </c>
      <c r="F49" s="5" t="n">
        <v>0</v>
      </c>
      <c r="G49" s="5" t="n">
        <v>1</v>
      </c>
      <c r="H49" s="5" t="n">
        <v>0</v>
      </c>
      <c r="I49" s="5" t="n">
        <v>0</v>
      </c>
      <c r="J49" s="5" t="n">
        <v>1</v>
      </c>
      <c r="K49" s="5" t="n">
        <v>0</v>
      </c>
      <c r="L49" s="5" t="n">
        <v>0</v>
      </c>
      <c r="M49" s="5" t="n">
        <v>0</v>
      </c>
      <c r="N49" s="5" t="n">
        <v>0</v>
      </c>
      <c r="O49" s="5" t="n">
        <v>0</v>
      </c>
      <c r="P49" s="5" t="n">
        <v>0</v>
      </c>
      <c r="Q49" s="5" t="n">
        <v>0</v>
      </c>
      <c r="R49" s="5" t="n">
        <v>0</v>
      </c>
      <c r="S49" s="5" t="n">
        <v>0</v>
      </c>
      <c r="T49" s="5" t="n">
        <v>0</v>
      </c>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n">
        <v>0</v>
      </c>
      <c r="D50" s="5" t="n">
        <v>0</v>
      </c>
      <c r="E50" s="5" t="n">
        <v>0</v>
      </c>
      <c r="F50" s="5" t="n">
        <v>0</v>
      </c>
      <c r="G50" s="5" t="n">
        <v>1</v>
      </c>
      <c r="H50" s="5" t="n">
        <v>0</v>
      </c>
      <c r="I50" s="5" t="n">
        <v>0</v>
      </c>
      <c r="J50" s="5" t="n">
        <v>0</v>
      </c>
      <c r="K50" s="5" t="n">
        <v>0</v>
      </c>
      <c r="L50" s="5" t="n">
        <v>0</v>
      </c>
      <c r="M50" s="5" t="n">
        <v>0</v>
      </c>
      <c r="N50" s="5" t="n">
        <v>0</v>
      </c>
      <c r="O50" s="5" t="n">
        <v>0</v>
      </c>
      <c r="P50" s="5" t="n">
        <v>0</v>
      </c>
      <c r="Q50" s="5" t="n">
        <v>0</v>
      </c>
      <c r="R50" s="5" t="n">
        <v>0</v>
      </c>
      <c r="S50" s="5" t="n">
        <v>0</v>
      </c>
      <c r="T50" s="5" t="n">
        <v>0</v>
      </c>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23.85" hidden="false" customHeight="false" outlineLevel="0" collapsed="false">
      <c r="A51" s="5" t="n">
        <v>50</v>
      </c>
      <c r="B51" s="5" t="s">
        <v>981</v>
      </c>
      <c r="C51" s="5" t="n">
        <v>0</v>
      </c>
      <c r="D51" s="5" t="n">
        <v>0</v>
      </c>
      <c r="E51" s="5" t="n">
        <v>0</v>
      </c>
      <c r="F51" s="5" t="n">
        <v>0</v>
      </c>
      <c r="G51" s="5" t="n">
        <v>1</v>
      </c>
      <c r="H51" s="5" t="n">
        <v>0</v>
      </c>
      <c r="I51" s="5" t="n">
        <v>0</v>
      </c>
      <c r="J51" s="5" t="n">
        <v>0</v>
      </c>
      <c r="K51" s="5" t="n">
        <v>0</v>
      </c>
      <c r="L51" s="5" t="n">
        <v>0</v>
      </c>
      <c r="M51" s="5" t="n">
        <v>1</v>
      </c>
      <c r="N51" s="5" t="n">
        <v>0</v>
      </c>
      <c r="O51" s="5" t="n">
        <v>0</v>
      </c>
      <c r="P51" s="5" t="n">
        <v>0</v>
      </c>
      <c r="Q51" s="5" t="n">
        <v>0</v>
      </c>
      <c r="R51" s="5" t="n">
        <v>0</v>
      </c>
      <c r="S51" s="5" t="n">
        <v>0</v>
      </c>
      <c r="T51" s="5" t="n">
        <v>0</v>
      </c>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23.85" hidden="false" customHeight="false" outlineLevel="0" collapsed="false">
      <c r="A52" s="5" t="n">
        <v>51</v>
      </c>
      <c r="B52" s="5" t="s">
        <v>983</v>
      </c>
      <c r="C52" s="5" t="n">
        <v>0</v>
      </c>
      <c r="D52" s="5" t="n">
        <v>0</v>
      </c>
      <c r="E52" s="5" t="n">
        <v>0</v>
      </c>
      <c r="F52" s="5" t="n">
        <v>0</v>
      </c>
      <c r="G52" s="5" t="n">
        <v>1</v>
      </c>
      <c r="H52" s="5" t="n">
        <v>0</v>
      </c>
      <c r="I52" s="5" t="n">
        <v>0</v>
      </c>
      <c r="J52" s="5" t="n">
        <v>0</v>
      </c>
      <c r="K52" s="5" t="n">
        <v>0</v>
      </c>
      <c r="L52" s="5" t="n">
        <v>0</v>
      </c>
      <c r="M52" s="5" t="n">
        <v>0</v>
      </c>
      <c r="N52" s="5" t="n">
        <v>0</v>
      </c>
      <c r="O52" s="5" t="n">
        <v>0</v>
      </c>
      <c r="P52" s="5" t="n">
        <v>0</v>
      </c>
      <c r="Q52" s="5" t="n">
        <v>0</v>
      </c>
      <c r="R52" s="5" t="n">
        <v>0</v>
      </c>
      <c r="S52" s="5" t="n">
        <v>0</v>
      </c>
      <c r="T52" s="5" t="n">
        <v>0</v>
      </c>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23.85" hidden="false" customHeight="false" outlineLevel="0" collapsed="false">
      <c r="A53" s="5" t="n">
        <v>52</v>
      </c>
      <c r="B53" s="5" t="s">
        <v>986</v>
      </c>
      <c r="C53" s="5" t="n">
        <v>0</v>
      </c>
      <c r="D53" s="5" t="n">
        <v>0</v>
      </c>
      <c r="E53" s="5" t="n">
        <v>0</v>
      </c>
      <c r="F53" s="5" t="n">
        <v>0</v>
      </c>
      <c r="G53" s="5" t="n">
        <v>1</v>
      </c>
      <c r="H53" s="5" t="n">
        <v>0</v>
      </c>
      <c r="I53" s="5" t="n">
        <v>0</v>
      </c>
      <c r="J53" s="5" t="n">
        <v>0</v>
      </c>
      <c r="K53" s="5" t="n">
        <v>0</v>
      </c>
      <c r="L53" s="5" t="n">
        <v>0</v>
      </c>
      <c r="M53" s="5" t="n">
        <v>1</v>
      </c>
      <c r="N53" s="5" t="n">
        <v>0</v>
      </c>
      <c r="O53" s="5" t="n">
        <v>0</v>
      </c>
      <c r="P53" s="5" t="n">
        <v>0</v>
      </c>
      <c r="Q53" s="5" t="n">
        <v>0</v>
      </c>
      <c r="R53" s="5" t="n">
        <v>0</v>
      </c>
      <c r="S53" s="5" t="n">
        <v>0</v>
      </c>
      <c r="T53" s="5" t="n">
        <v>0</v>
      </c>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n">
        <v>0</v>
      </c>
      <c r="D54" s="5" t="n">
        <v>0</v>
      </c>
      <c r="E54" s="5" t="n">
        <v>0</v>
      </c>
      <c r="F54" s="5" t="n">
        <v>0</v>
      </c>
      <c r="G54" s="5" t="n">
        <v>0</v>
      </c>
      <c r="H54" s="5" t="n">
        <v>0</v>
      </c>
      <c r="I54" s="5" t="n">
        <v>0</v>
      </c>
      <c r="J54" s="5" t="n">
        <v>1</v>
      </c>
      <c r="K54" s="5" t="n">
        <v>0</v>
      </c>
      <c r="L54" s="5" t="n">
        <v>0</v>
      </c>
      <c r="M54" s="5" t="n">
        <v>1</v>
      </c>
      <c r="N54" s="5" t="n">
        <v>0</v>
      </c>
      <c r="O54" s="5" t="n">
        <v>0</v>
      </c>
      <c r="P54" s="5" t="n">
        <v>0</v>
      </c>
      <c r="Q54" s="5" t="n">
        <v>0</v>
      </c>
      <c r="R54" s="5" t="n">
        <v>0</v>
      </c>
      <c r="S54" s="5" t="n">
        <v>0</v>
      </c>
      <c r="T54" s="5" t="n">
        <v>0</v>
      </c>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23.85" hidden="false" customHeight="false" outlineLevel="0" collapsed="false">
      <c r="A55" s="5" t="n">
        <v>54</v>
      </c>
      <c r="B55" s="5" t="s">
        <v>993</v>
      </c>
      <c r="C55" s="5" t="n">
        <v>0</v>
      </c>
      <c r="D55" s="5" t="n">
        <v>0</v>
      </c>
      <c r="E55" s="5" t="n">
        <v>0</v>
      </c>
      <c r="F55" s="5" t="n">
        <v>0</v>
      </c>
      <c r="G55" s="5" t="n">
        <v>0</v>
      </c>
      <c r="H55" s="5" t="n">
        <v>0</v>
      </c>
      <c r="I55" s="5" t="n">
        <v>0</v>
      </c>
      <c r="J55" s="5" t="n">
        <v>0</v>
      </c>
      <c r="K55" s="5" t="n">
        <v>0</v>
      </c>
      <c r="L55" s="5" t="n">
        <v>0</v>
      </c>
      <c r="M55" s="5" t="n">
        <v>0</v>
      </c>
      <c r="N55" s="5" t="n">
        <v>0</v>
      </c>
      <c r="O55" s="5" t="n">
        <v>0</v>
      </c>
      <c r="P55" s="5" t="n">
        <v>0</v>
      </c>
      <c r="Q55" s="5" t="n">
        <v>0</v>
      </c>
      <c r="R55" s="5" t="n">
        <v>0</v>
      </c>
      <c r="S55" s="5" t="n">
        <v>0</v>
      </c>
      <c r="T55" s="5" t="n">
        <v>0</v>
      </c>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23.85" hidden="false" customHeight="false" outlineLevel="0" collapsed="false">
      <c r="A56" s="5" t="n">
        <v>55</v>
      </c>
      <c r="B56" s="5" t="s">
        <v>996</v>
      </c>
      <c r="C56" s="5" t="n">
        <v>0</v>
      </c>
      <c r="D56" s="5" t="n">
        <v>0</v>
      </c>
      <c r="E56" s="5" t="n">
        <v>0</v>
      </c>
      <c r="F56" s="5" t="n">
        <v>0</v>
      </c>
      <c r="G56" s="5" t="n">
        <v>1</v>
      </c>
      <c r="H56" s="5" t="n">
        <v>0</v>
      </c>
      <c r="I56" s="5" t="n">
        <v>0</v>
      </c>
      <c r="J56" s="5" t="n">
        <v>0</v>
      </c>
      <c r="K56" s="5" t="n">
        <v>0</v>
      </c>
      <c r="L56" s="5" t="n">
        <v>0</v>
      </c>
      <c r="M56" s="5" t="n">
        <v>1</v>
      </c>
      <c r="N56" s="5" t="n">
        <v>0</v>
      </c>
      <c r="O56" s="5" t="n">
        <v>0</v>
      </c>
      <c r="P56" s="5" t="n">
        <v>0</v>
      </c>
      <c r="Q56" s="5" t="n">
        <v>0</v>
      </c>
      <c r="R56" s="5" t="n">
        <v>0</v>
      </c>
      <c r="S56" s="5" t="n">
        <v>0</v>
      </c>
      <c r="T56" s="5" t="n">
        <v>0</v>
      </c>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35.05" hidden="false" customHeight="false" outlineLevel="0" collapsed="false">
      <c r="A57" s="5" t="n">
        <v>56</v>
      </c>
      <c r="B57" s="5" t="s">
        <v>175</v>
      </c>
      <c r="C57" s="5" t="n">
        <v>0</v>
      </c>
      <c r="D57" s="5" t="n">
        <v>0</v>
      </c>
      <c r="E57" s="5" t="n">
        <v>1</v>
      </c>
      <c r="F57" s="5" t="n">
        <v>0</v>
      </c>
      <c r="G57" s="5" t="n">
        <v>1</v>
      </c>
      <c r="H57" s="5" t="n">
        <v>1</v>
      </c>
      <c r="I57" s="5" t="n">
        <v>1</v>
      </c>
      <c r="J57" s="5" t="n">
        <v>0</v>
      </c>
      <c r="K57" s="5" t="n">
        <v>0</v>
      </c>
      <c r="L57" s="5" t="n">
        <v>0</v>
      </c>
      <c r="M57" s="5" t="n">
        <v>1</v>
      </c>
      <c r="N57" s="5" t="n">
        <v>0</v>
      </c>
      <c r="O57" s="5" t="n">
        <v>0</v>
      </c>
      <c r="P57" s="5" t="n">
        <v>0</v>
      </c>
      <c r="Q57" s="5" t="n">
        <v>1</v>
      </c>
      <c r="R57" s="5" t="n">
        <v>0</v>
      </c>
      <c r="S57" s="5" t="n">
        <v>1</v>
      </c>
      <c r="T57" s="5" t="n">
        <v>0</v>
      </c>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n">
        <v>0</v>
      </c>
      <c r="D58" s="5" t="n">
        <v>0</v>
      </c>
      <c r="E58" s="5" t="n">
        <v>0</v>
      </c>
      <c r="F58" s="5" t="n">
        <v>0</v>
      </c>
      <c r="G58" s="5" t="n">
        <v>1</v>
      </c>
      <c r="H58" s="5" t="n">
        <v>0</v>
      </c>
      <c r="I58" s="5" t="n">
        <v>0</v>
      </c>
      <c r="J58" s="5" t="n">
        <v>1</v>
      </c>
      <c r="K58" s="5" t="n">
        <v>0</v>
      </c>
      <c r="L58" s="5" t="n">
        <v>0</v>
      </c>
      <c r="M58" s="5" t="n">
        <v>0</v>
      </c>
      <c r="N58" s="5" t="n">
        <v>0</v>
      </c>
      <c r="O58" s="5" t="n">
        <v>0</v>
      </c>
      <c r="P58" s="5" t="n">
        <v>0</v>
      </c>
      <c r="Q58" s="5" t="n">
        <v>0</v>
      </c>
      <c r="R58" s="5" t="n">
        <v>0</v>
      </c>
      <c r="S58" s="5" t="n">
        <v>0</v>
      </c>
      <c r="T58" s="5" t="n">
        <v>0</v>
      </c>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n">
        <v>1</v>
      </c>
      <c r="D59" s="5" t="n">
        <v>0</v>
      </c>
      <c r="E59" s="5" t="n">
        <v>0</v>
      </c>
      <c r="F59" s="5" t="n">
        <v>0</v>
      </c>
      <c r="G59" s="5" t="n">
        <v>1</v>
      </c>
      <c r="H59" s="5" t="n">
        <v>1</v>
      </c>
      <c r="I59" s="5" t="n">
        <v>0</v>
      </c>
      <c r="J59" s="5" t="n">
        <v>0</v>
      </c>
      <c r="K59" s="5" t="n">
        <v>0</v>
      </c>
      <c r="L59" s="5" t="n">
        <v>0</v>
      </c>
      <c r="M59" s="5" t="n">
        <v>0</v>
      </c>
      <c r="N59" s="5" t="n">
        <v>0</v>
      </c>
      <c r="O59" s="5" t="n">
        <v>0</v>
      </c>
      <c r="P59" s="5" t="n">
        <v>0</v>
      </c>
      <c r="Q59" s="5" t="n">
        <v>0</v>
      </c>
      <c r="R59" s="5" t="n">
        <v>0</v>
      </c>
      <c r="S59" s="5" t="n">
        <v>0</v>
      </c>
      <c r="T59" s="5" t="n">
        <v>0</v>
      </c>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n">
        <v>1</v>
      </c>
      <c r="D60" s="1" t="n">
        <v>0</v>
      </c>
      <c r="E60" s="1" t="n">
        <v>0</v>
      </c>
      <c r="F60" s="1" t="n">
        <v>0</v>
      </c>
      <c r="G60" s="1" t="n">
        <v>0</v>
      </c>
      <c r="H60" s="1" t="n">
        <v>0</v>
      </c>
      <c r="I60" s="1" t="n">
        <v>0</v>
      </c>
      <c r="J60" s="1" t="n">
        <v>0</v>
      </c>
      <c r="K60" s="1" t="n">
        <v>0</v>
      </c>
      <c r="L60" s="1" t="n">
        <v>0</v>
      </c>
      <c r="M60" s="1" t="n">
        <v>0</v>
      </c>
      <c r="N60" s="1" t="n">
        <v>0</v>
      </c>
      <c r="O60" s="1" t="n">
        <v>0</v>
      </c>
      <c r="P60" s="1" t="n">
        <v>0</v>
      </c>
      <c r="Q60" s="1" t="n">
        <v>0</v>
      </c>
      <c r="R60" s="1" t="n">
        <v>0</v>
      </c>
      <c r="S60" s="1" t="n">
        <v>0</v>
      </c>
      <c r="T60" s="1" t="n">
        <v>0</v>
      </c>
    </row>
  </sheetData>
  <conditionalFormatting sqref="C2:AZ59">
    <cfRule type="expression" priority="2" aboveAverage="0" equalAverage="0" bottom="0" percent="0" rank="0" text="" dxfId="34">
      <formula>C2=1</formula>
    </cfRule>
    <cfRule type="expression" priority="3" aboveAverage="0" equalAverage="0" bottom="0" percent="0" rank="0" text="" dxfId="35">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52" min="3" style="1" width="15"/>
  </cols>
  <sheetData>
    <row r="1" customFormat="false" ht="36" hidden="false" customHeight="true" outlineLevel="0" collapsed="false">
      <c r="A1" s="6" t="s">
        <v>805</v>
      </c>
      <c r="B1" s="5" t="s">
        <v>1012</v>
      </c>
      <c r="C1" s="5" t="s">
        <v>1709</v>
      </c>
      <c r="D1" s="5" t="s">
        <v>1710</v>
      </c>
      <c r="E1" s="5" t="s">
        <v>1021</v>
      </c>
      <c r="F1" s="5" t="s">
        <v>1711</v>
      </c>
      <c r="G1" s="5" t="s">
        <v>1684</v>
      </c>
      <c r="H1" s="5" t="s">
        <v>1712</v>
      </c>
      <c r="I1" s="5" t="s">
        <v>1713</v>
      </c>
      <c r="J1" s="5" t="s">
        <v>1714</v>
      </c>
      <c r="K1" s="5" t="s">
        <v>1715</v>
      </c>
      <c r="L1" s="5" t="s">
        <v>1716</v>
      </c>
      <c r="M1" s="5" t="s">
        <v>1717</v>
      </c>
      <c r="N1" s="5" t="s">
        <v>1718</v>
      </c>
      <c r="O1" s="5" t="s">
        <v>1719</v>
      </c>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row>
    <row r="2" customFormat="false" ht="23.85" hidden="false" customHeight="false" outlineLevel="0" collapsed="false">
      <c r="A2" s="5" t="n">
        <v>1</v>
      </c>
      <c r="B2" s="5" t="s">
        <v>819</v>
      </c>
      <c r="C2" s="5" t="n">
        <v>0</v>
      </c>
      <c r="D2" s="5" t="n">
        <v>0</v>
      </c>
      <c r="E2" s="5" t="n">
        <v>0</v>
      </c>
      <c r="F2" s="5" t="n">
        <v>0</v>
      </c>
      <c r="G2" s="5" t="n">
        <v>0</v>
      </c>
      <c r="H2" s="5" t="n">
        <v>0</v>
      </c>
      <c r="I2" s="5" t="n">
        <v>0</v>
      </c>
      <c r="J2" s="5" t="n">
        <v>0</v>
      </c>
      <c r="K2" s="5" t="n">
        <v>0</v>
      </c>
      <c r="L2" s="5" t="n">
        <v>0</v>
      </c>
      <c r="M2" s="5" t="n">
        <v>0</v>
      </c>
      <c r="N2" s="5" t="n">
        <v>0</v>
      </c>
      <c r="O2" s="5" t="n">
        <v>0</v>
      </c>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row>
    <row r="3" customFormat="false" ht="23.85" hidden="false" customHeight="false" outlineLevel="0" collapsed="false">
      <c r="A3" s="5" t="n">
        <v>2</v>
      </c>
      <c r="B3" s="5" t="s">
        <v>824</v>
      </c>
      <c r="C3" s="5" t="n">
        <v>0</v>
      </c>
      <c r="D3" s="5" t="n">
        <v>0</v>
      </c>
      <c r="E3" s="5" t="n">
        <v>0</v>
      </c>
      <c r="F3" s="5" t="n">
        <v>0</v>
      </c>
      <c r="G3" s="5" t="n">
        <v>0</v>
      </c>
      <c r="H3" s="5" t="n">
        <v>0</v>
      </c>
      <c r="I3" s="5" t="n">
        <v>1</v>
      </c>
      <c r="J3" s="5" t="n">
        <v>0</v>
      </c>
      <c r="K3" s="5" t="n">
        <v>0</v>
      </c>
      <c r="L3" s="5" t="n">
        <v>0</v>
      </c>
      <c r="M3" s="5" t="n">
        <v>0</v>
      </c>
      <c r="N3" s="5" t="n">
        <v>0</v>
      </c>
      <c r="O3" s="5" t="n">
        <v>0</v>
      </c>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row>
    <row r="4" customFormat="false" ht="23.85" hidden="false" customHeight="false" outlineLevel="0" collapsed="false">
      <c r="A4" s="5" t="n">
        <v>3</v>
      </c>
      <c r="B4" s="5" t="s">
        <v>828</v>
      </c>
      <c r="C4" s="5" t="n">
        <v>0</v>
      </c>
      <c r="D4" s="5" t="n">
        <v>0</v>
      </c>
      <c r="E4" s="5" t="n">
        <v>0</v>
      </c>
      <c r="F4" s="5" t="n">
        <v>0</v>
      </c>
      <c r="G4" s="5" t="n">
        <v>0</v>
      </c>
      <c r="H4" s="5" t="n">
        <v>0</v>
      </c>
      <c r="I4" s="5" t="n">
        <v>0</v>
      </c>
      <c r="J4" s="5" t="n">
        <v>0</v>
      </c>
      <c r="K4" s="5" t="n">
        <v>0</v>
      </c>
      <c r="L4" s="5" t="n">
        <v>0</v>
      </c>
      <c r="M4" s="5" t="n">
        <v>0</v>
      </c>
      <c r="N4" s="5" t="n">
        <v>0</v>
      </c>
      <c r="O4" s="5" t="n">
        <v>0</v>
      </c>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row>
    <row r="5" customFormat="false" ht="23.85" hidden="false" customHeight="false" outlineLevel="0" collapsed="false">
      <c r="A5" s="5" t="n">
        <v>4</v>
      </c>
      <c r="B5" s="5" t="s">
        <v>58</v>
      </c>
      <c r="C5" s="5" t="n">
        <v>1</v>
      </c>
      <c r="D5" s="5" t="n">
        <v>0</v>
      </c>
      <c r="E5" s="5" t="n">
        <v>1</v>
      </c>
      <c r="F5" s="5" t="n">
        <v>1</v>
      </c>
      <c r="G5" s="5" t="n">
        <v>0</v>
      </c>
      <c r="H5" s="5" t="n">
        <v>0</v>
      </c>
      <c r="I5" s="5" t="n">
        <v>0</v>
      </c>
      <c r="J5" s="5" t="n">
        <v>0</v>
      </c>
      <c r="K5" s="5" t="n">
        <v>0</v>
      </c>
      <c r="L5" s="5" t="n">
        <v>0</v>
      </c>
      <c r="M5" s="5" t="n">
        <v>0</v>
      </c>
      <c r="N5" s="5" t="n">
        <v>0</v>
      </c>
      <c r="O5" s="5" t="n">
        <v>0</v>
      </c>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row>
    <row r="6" customFormat="false" ht="23.85" hidden="false" customHeight="false" outlineLevel="0" collapsed="false">
      <c r="A6" s="5" t="n">
        <v>5</v>
      </c>
      <c r="B6" s="5" t="s">
        <v>62</v>
      </c>
      <c r="C6" s="5" t="n">
        <v>0</v>
      </c>
      <c r="D6" s="5" t="n">
        <v>0</v>
      </c>
      <c r="E6" s="5" t="n">
        <v>0</v>
      </c>
      <c r="F6" s="5" t="n">
        <v>0</v>
      </c>
      <c r="G6" s="5" t="n">
        <v>0</v>
      </c>
      <c r="H6" s="5" t="n">
        <v>0</v>
      </c>
      <c r="I6" s="5" t="n">
        <v>0</v>
      </c>
      <c r="J6" s="5" t="n">
        <v>0</v>
      </c>
      <c r="K6" s="5" t="n">
        <v>0</v>
      </c>
      <c r="L6" s="5" t="n">
        <v>0</v>
      </c>
      <c r="M6" s="5" t="n">
        <v>0</v>
      </c>
      <c r="N6" s="5" t="n">
        <v>0</v>
      </c>
      <c r="O6" s="5" t="n">
        <v>0</v>
      </c>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row>
    <row r="7" customFormat="false" ht="23.85" hidden="false" customHeight="false" outlineLevel="0" collapsed="false">
      <c r="A7" s="5" t="n">
        <v>6</v>
      </c>
      <c r="B7" s="5" t="s">
        <v>839</v>
      </c>
      <c r="C7" s="5" t="n">
        <v>1</v>
      </c>
      <c r="D7" s="5" t="n">
        <v>0</v>
      </c>
      <c r="E7" s="5" t="n">
        <v>1</v>
      </c>
      <c r="F7" s="5" t="n">
        <v>0</v>
      </c>
      <c r="G7" s="5" t="n">
        <v>0</v>
      </c>
      <c r="H7" s="5" t="n">
        <v>0</v>
      </c>
      <c r="I7" s="5" t="n">
        <v>0</v>
      </c>
      <c r="J7" s="5" t="n">
        <v>0</v>
      </c>
      <c r="K7" s="5" t="n">
        <v>0</v>
      </c>
      <c r="L7" s="5" t="n">
        <v>0</v>
      </c>
      <c r="M7" s="5" t="n">
        <v>0</v>
      </c>
      <c r="N7" s="5" t="n">
        <v>0</v>
      </c>
      <c r="O7" s="5" t="n">
        <v>0</v>
      </c>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row>
    <row r="8" customFormat="false" ht="23.85" hidden="false" customHeight="false" outlineLevel="0" collapsed="false">
      <c r="A8" s="5" t="n">
        <v>7</v>
      </c>
      <c r="B8" s="5" t="s">
        <v>842</v>
      </c>
      <c r="C8" s="5" t="n">
        <v>0</v>
      </c>
      <c r="D8" s="5" t="n">
        <v>0</v>
      </c>
      <c r="E8" s="5" t="n">
        <v>0</v>
      </c>
      <c r="F8" s="5" t="n">
        <v>0</v>
      </c>
      <c r="G8" s="5" t="n">
        <v>0</v>
      </c>
      <c r="H8" s="5" t="n">
        <v>0</v>
      </c>
      <c r="I8" s="5" t="n">
        <v>1</v>
      </c>
      <c r="J8" s="5" t="n">
        <v>0</v>
      </c>
      <c r="K8" s="5" t="n">
        <v>0</v>
      </c>
      <c r="L8" s="5" t="n">
        <v>0</v>
      </c>
      <c r="M8" s="5" t="n">
        <v>0</v>
      </c>
      <c r="N8" s="5" t="n">
        <v>0</v>
      </c>
      <c r="O8" s="5" t="n">
        <v>0</v>
      </c>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row>
    <row r="9" customFormat="false" ht="23.85" hidden="false" customHeight="false" outlineLevel="0" collapsed="false">
      <c r="A9" s="5" t="n">
        <v>8</v>
      </c>
      <c r="B9" s="5" t="s">
        <v>847</v>
      </c>
      <c r="C9" s="5" t="n">
        <v>0</v>
      </c>
      <c r="D9" s="5" t="n">
        <v>0</v>
      </c>
      <c r="E9" s="5" t="n">
        <v>0</v>
      </c>
      <c r="F9" s="5" t="n">
        <v>0</v>
      </c>
      <c r="G9" s="5" t="n">
        <v>0</v>
      </c>
      <c r="H9" s="5" t="n">
        <v>0</v>
      </c>
      <c r="I9" s="5" t="n">
        <v>0</v>
      </c>
      <c r="J9" s="5" t="n">
        <v>0</v>
      </c>
      <c r="K9" s="5" t="n">
        <v>0</v>
      </c>
      <c r="L9" s="5" t="n">
        <v>0</v>
      </c>
      <c r="M9" s="5" t="n">
        <v>0</v>
      </c>
      <c r="N9" s="5" t="n">
        <v>0</v>
      </c>
      <c r="O9" s="5" t="n">
        <v>0</v>
      </c>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row>
    <row r="10" customFormat="false" ht="23.85" hidden="false" customHeight="false" outlineLevel="0" collapsed="false">
      <c r="A10" s="5" t="n">
        <v>9</v>
      </c>
      <c r="B10" s="5" t="s">
        <v>852</v>
      </c>
      <c r="C10" s="5" t="n">
        <v>0</v>
      </c>
      <c r="D10" s="5" t="n">
        <v>0</v>
      </c>
      <c r="E10" s="5" t="n">
        <v>0</v>
      </c>
      <c r="F10" s="5" t="n">
        <v>0</v>
      </c>
      <c r="G10" s="5" t="n">
        <v>0</v>
      </c>
      <c r="H10" s="5" t="n">
        <v>0</v>
      </c>
      <c r="I10" s="5" t="n">
        <v>0</v>
      </c>
      <c r="J10" s="5" t="n">
        <v>0</v>
      </c>
      <c r="K10" s="5" t="n">
        <v>0</v>
      </c>
      <c r="L10" s="5" t="n">
        <v>0</v>
      </c>
      <c r="M10" s="5" t="n">
        <v>0</v>
      </c>
      <c r="N10" s="5" t="n">
        <v>0</v>
      </c>
      <c r="O10" s="5" t="n">
        <v>0</v>
      </c>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row>
    <row r="11" customFormat="false" ht="23.85" hidden="false" customHeight="false" outlineLevel="0" collapsed="false">
      <c r="A11" s="5" t="n">
        <v>10</v>
      </c>
      <c r="B11" s="5" t="s">
        <v>852</v>
      </c>
      <c r="C11" s="5" t="n">
        <v>0</v>
      </c>
      <c r="D11" s="5" t="n">
        <v>0</v>
      </c>
      <c r="E11" s="5" t="n">
        <v>0</v>
      </c>
      <c r="F11" s="5" t="n">
        <v>0</v>
      </c>
      <c r="G11" s="5" t="n">
        <v>0</v>
      </c>
      <c r="H11" s="5" t="n">
        <v>0</v>
      </c>
      <c r="I11" s="5" t="n">
        <v>0</v>
      </c>
      <c r="J11" s="5" t="n">
        <v>0</v>
      </c>
      <c r="K11" s="5" t="n">
        <v>0</v>
      </c>
      <c r="L11" s="5" t="n">
        <v>0</v>
      </c>
      <c r="M11" s="5" t="n">
        <v>0</v>
      </c>
      <c r="N11" s="5" t="n">
        <v>0</v>
      </c>
      <c r="O11" s="5" t="n">
        <v>0</v>
      </c>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row>
    <row r="12" customFormat="false" ht="23.85" hidden="false" customHeight="false" outlineLevel="0" collapsed="false">
      <c r="A12" s="5" t="n">
        <v>11</v>
      </c>
      <c r="B12" s="5" t="s">
        <v>854</v>
      </c>
      <c r="C12" s="5" t="n">
        <v>1</v>
      </c>
      <c r="D12" s="5" t="n">
        <v>0</v>
      </c>
      <c r="E12" s="5" t="n">
        <v>1</v>
      </c>
      <c r="F12" s="5" t="n">
        <v>0</v>
      </c>
      <c r="G12" s="5" t="n">
        <v>0</v>
      </c>
      <c r="H12" s="5" t="n">
        <v>0</v>
      </c>
      <c r="I12" s="5" t="n">
        <v>1</v>
      </c>
      <c r="J12" s="5" t="n">
        <v>0</v>
      </c>
      <c r="K12" s="5" t="n">
        <v>0</v>
      </c>
      <c r="L12" s="5" t="n">
        <v>0</v>
      </c>
      <c r="M12" s="5" t="n">
        <v>0</v>
      </c>
      <c r="N12" s="5" t="n">
        <v>1</v>
      </c>
      <c r="O12" s="5" t="n">
        <v>0</v>
      </c>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row>
    <row r="13" customFormat="false" ht="23.85" hidden="false" customHeight="false" outlineLevel="0" collapsed="false">
      <c r="A13" s="5" t="n">
        <v>12</v>
      </c>
      <c r="B13" s="5" t="s">
        <v>857</v>
      </c>
      <c r="C13" s="5" t="n">
        <v>0</v>
      </c>
      <c r="D13" s="5" t="n">
        <v>0</v>
      </c>
      <c r="E13" s="5" t="n">
        <v>0</v>
      </c>
      <c r="F13" s="5" t="n">
        <v>0</v>
      </c>
      <c r="G13" s="5" t="n">
        <v>0</v>
      </c>
      <c r="H13" s="5" t="n">
        <v>0</v>
      </c>
      <c r="I13" s="5" t="n">
        <v>1</v>
      </c>
      <c r="J13" s="5" t="n">
        <v>0</v>
      </c>
      <c r="K13" s="5" t="n">
        <v>0</v>
      </c>
      <c r="L13" s="5" t="n">
        <v>0</v>
      </c>
      <c r="M13" s="5" t="n">
        <v>0</v>
      </c>
      <c r="N13" s="5" t="n">
        <v>1</v>
      </c>
      <c r="O13" s="5" t="n">
        <v>0</v>
      </c>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row>
    <row r="14" customFormat="false" ht="23.85" hidden="false" customHeight="false" outlineLevel="0" collapsed="false">
      <c r="A14" s="5" t="n">
        <v>13</v>
      </c>
      <c r="B14" s="5" t="s">
        <v>860</v>
      </c>
      <c r="C14" s="5" t="n">
        <v>0</v>
      </c>
      <c r="D14" s="5" t="n">
        <v>0</v>
      </c>
      <c r="E14" s="5" t="n">
        <v>0</v>
      </c>
      <c r="F14" s="5" t="n">
        <v>0</v>
      </c>
      <c r="G14" s="5" t="n">
        <v>0</v>
      </c>
      <c r="H14" s="5" t="n">
        <v>0</v>
      </c>
      <c r="I14" s="5" t="n">
        <v>0</v>
      </c>
      <c r="J14" s="5" t="n">
        <v>0</v>
      </c>
      <c r="K14" s="5" t="n">
        <v>0</v>
      </c>
      <c r="L14" s="5" t="n">
        <v>0</v>
      </c>
      <c r="M14" s="5" t="n">
        <v>0</v>
      </c>
      <c r="N14" s="5" t="n">
        <v>0</v>
      </c>
      <c r="O14" s="5" t="n">
        <v>0</v>
      </c>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row>
    <row r="15" customFormat="false" ht="23.85" hidden="false" customHeight="false" outlineLevel="0" collapsed="false">
      <c r="A15" s="5" t="n">
        <v>14</v>
      </c>
      <c r="B15" s="5" t="s">
        <v>864</v>
      </c>
      <c r="C15" s="5" t="n">
        <v>0</v>
      </c>
      <c r="D15" s="5" t="n">
        <v>0</v>
      </c>
      <c r="E15" s="5" t="n">
        <v>0</v>
      </c>
      <c r="F15" s="5" t="n">
        <v>0</v>
      </c>
      <c r="G15" s="5" t="n">
        <v>1</v>
      </c>
      <c r="H15" s="5" t="n">
        <v>0</v>
      </c>
      <c r="I15" s="5" t="n">
        <v>0</v>
      </c>
      <c r="J15" s="5" t="n">
        <v>0</v>
      </c>
      <c r="K15" s="5" t="n">
        <v>0</v>
      </c>
      <c r="L15" s="5" t="n">
        <v>0</v>
      </c>
      <c r="M15" s="5" t="n">
        <v>0</v>
      </c>
      <c r="N15" s="5" t="n">
        <v>1</v>
      </c>
      <c r="O15" s="5" t="n">
        <v>0</v>
      </c>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row>
    <row r="16" customFormat="false" ht="23.85" hidden="false" customHeight="false" outlineLevel="0" collapsed="false">
      <c r="A16" s="5" t="n">
        <v>15</v>
      </c>
      <c r="B16" s="5" t="s">
        <v>88</v>
      </c>
      <c r="C16" s="5" t="n">
        <v>0</v>
      </c>
      <c r="D16" s="5" t="n">
        <v>0</v>
      </c>
      <c r="E16" s="5" t="n">
        <v>0</v>
      </c>
      <c r="F16" s="5" t="n">
        <v>0</v>
      </c>
      <c r="G16" s="5" t="n">
        <v>0</v>
      </c>
      <c r="H16" s="5" t="n">
        <v>0</v>
      </c>
      <c r="I16" s="5" t="n">
        <v>0</v>
      </c>
      <c r="J16" s="5" t="n">
        <v>0</v>
      </c>
      <c r="K16" s="5" t="n">
        <v>0</v>
      </c>
      <c r="L16" s="5" t="n">
        <v>0</v>
      </c>
      <c r="M16" s="5" t="n">
        <v>0</v>
      </c>
      <c r="N16" s="5" t="n">
        <v>1</v>
      </c>
      <c r="O16" s="5" t="n">
        <v>0</v>
      </c>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row>
    <row r="17" customFormat="false" ht="23.85" hidden="false" customHeight="false" outlineLevel="0" collapsed="false">
      <c r="A17" s="5" t="n">
        <v>16</v>
      </c>
      <c r="B17" s="5" t="s">
        <v>869</v>
      </c>
      <c r="C17" s="5" t="n">
        <v>0</v>
      </c>
      <c r="D17" s="5" t="n">
        <v>0</v>
      </c>
      <c r="E17" s="5" t="n">
        <v>0</v>
      </c>
      <c r="F17" s="5" t="n">
        <v>0</v>
      </c>
      <c r="G17" s="5" t="n">
        <v>0</v>
      </c>
      <c r="H17" s="5" t="n">
        <v>0</v>
      </c>
      <c r="I17" s="5" t="n">
        <v>0</v>
      </c>
      <c r="J17" s="5" t="n">
        <v>0</v>
      </c>
      <c r="K17" s="5" t="n">
        <v>0</v>
      </c>
      <c r="L17" s="5" t="n">
        <v>0</v>
      </c>
      <c r="M17" s="5" t="n">
        <v>0</v>
      </c>
      <c r="N17" s="5" t="n">
        <v>1</v>
      </c>
      <c r="O17" s="5" t="n">
        <v>0</v>
      </c>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row>
    <row r="18" customFormat="false" ht="23.85" hidden="false" customHeight="false" outlineLevel="0" collapsed="false">
      <c r="A18" s="5" t="n">
        <v>17</v>
      </c>
      <c r="B18" s="5" t="s">
        <v>94</v>
      </c>
      <c r="C18" s="5" t="n">
        <v>0</v>
      </c>
      <c r="D18" s="5" t="n">
        <v>0</v>
      </c>
      <c r="E18" s="5" t="n">
        <v>0</v>
      </c>
      <c r="F18" s="5" t="n">
        <v>0</v>
      </c>
      <c r="G18" s="5" t="n">
        <v>0</v>
      </c>
      <c r="H18" s="5" t="n">
        <v>0</v>
      </c>
      <c r="I18" s="5" t="n">
        <v>1</v>
      </c>
      <c r="J18" s="5" t="n">
        <v>0</v>
      </c>
      <c r="K18" s="5" t="n">
        <v>0</v>
      </c>
      <c r="L18" s="5" t="n">
        <v>0</v>
      </c>
      <c r="M18" s="5" t="n">
        <v>0</v>
      </c>
      <c r="N18" s="5" t="n">
        <v>1</v>
      </c>
      <c r="O18" s="5" t="n">
        <v>0</v>
      </c>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row>
    <row r="19" customFormat="false" ht="23.85" hidden="false" customHeight="false" outlineLevel="0" collapsed="false">
      <c r="A19" s="5" t="n">
        <v>18</v>
      </c>
      <c r="B19" s="5" t="s">
        <v>877</v>
      </c>
      <c r="C19" s="5" t="n">
        <v>1</v>
      </c>
      <c r="D19" s="5" t="n">
        <v>0</v>
      </c>
      <c r="E19" s="5" t="n">
        <v>1</v>
      </c>
      <c r="F19" s="5" t="n">
        <v>0</v>
      </c>
      <c r="G19" s="5" t="n">
        <v>0</v>
      </c>
      <c r="H19" s="5" t="n">
        <v>0</v>
      </c>
      <c r="I19" s="5" t="n">
        <v>1</v>
      </c>
      <c r="J19" s="5" t="n">
        <v>0</v>
      </c>
      <c r="K19" s="5" t="n">
        <v>0</v>
      </c>
      <c r="L19" s="5" t="n">
        <v>0</v>
      </c>
      <c r="M19" s="5" t="n">
        <v>0</v>
      </c>
      <c r="N19" s="5" t="n">
        <v>0</v>
      </c>
      <c r="O19" s="5" t="n">
        <v>0</v>
      </c>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row>
    <row r="20" customFormat="false" ht="23.85" hidden="false" customHeight="false" outlineLevel="0" collapsed="false">
      <c r="A20" s="5" t="n">
        <v>19</v>
      </c>
      <c r="B20" s="5" t="s">
        <v>882</v>
      </c>
      <c r="C20" s="5" t="n">
        <v>0</v>
      </c>
      <c r="D20" s="5" t="n">
        <v>0</v>
      </c>
      <c r="E20" s="5" t="n">
        <v>0</v>
      </c>
      <c r="F20" s="5" t="n">
        <v>1</v>
      </c>
      <c r="G20" s="5" t="n">
        <v>0</v>
      </c>
      <c r="H20" s="5" t="n">
        <v>0</v>
      </c>
      <c r="I20" s="5" t="n">
        <v>0</v>
      </c>
      <c r="J20" s="5" t="n">
        <v>0</v>
      </c>
      <c r="K20" s="5" t="n">
        <v>0</v>
      </c>
      <c r="L20" s="5" t="n">
        <v>0</v>
      </c>
      <c r="M20" s="5" t="n">
        <v>0</v>
      </c>
      <c r="N20" s="5" t="n">
        <v>0</v>
      </c>
      <c r="O20" s="5" t="n">
        <v>0</v>
      </c>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row>
    <row r="21" customFormat="false" ht="23.85" hidden="false" customHeight="false" outlineLevel="0" collapsed="false">
      <c r="A21" s="5" t="n">
        <v>20</v>
      </c>
      <c r="B21" s="5" t="s">
        <v>885</v>
      </c>
      <c r="C21" s="5" t="n">
        <v>1</v>
      </c>
      <c r="D21" s="5" t="n">
        <v>0</v>
      </c>
      <c r="E21" s="5" t="n">
        <v>1</v>
      </c>
      <c r="F21" s="5" t="n">
        <v>0</v>
      </c>
      <c r="G21" s="5" t="n">
        <v>0</v>
      </c>
      <c r="H21" s="5" t="n">
        <v>0</v>
      </c>
      <c r="I21" s="5" t="n">
        <v>1</v>
      </c>
      <c r="J21" s="5" t="n">
        <v>0</v>
      </c>
      <c r="K21" s="5" t="n">
        <v>0</v>
      </c>
      <c r="L21" s="5" t="n">
        <v>0</v>
      </c>
      <c r="M21" s="5" t="n">
        <v>0</v>
      </c>
      <c r="N21" s="5" t="n">
        <v>0</v>
      </c>
      <c r="O21" s="5" t="n">
        <v>0</v>
      </c>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row>
    <row r="22" customFormat="false" ht="23.85" hidden="false" customHeight="false" outlineLevel="0" collapsed="false">
      <c r="A22" s="5" t="n">
        <v>21</v>
      </c>
      <c r="B22" s="5" t="s">
        <v>102</v>
      </c>
      <c r="C22" s="5" t="n">
        <v>1</v>
      </c>
      <c r="D22" s="5" t="n">
        <v>0</v>
      </c>
      <c r="E22" s="5" t="n">
        <v>1</v>
      </c>
      <c r="F22" s="5" t="n">
        <v>0</v>
      </c>
      <c r="G22" s="5" t="n">
        <v>0</v>
      </c>
      <c r="H22" s="5" t="n">
        <v>0</v>
      </c>
      <c r="I22" s="5" t="n">
        <v>1</v>
      </c>
      <c r="J22" s="5" t="n">
        <v>0</v>
      </c>
      <c r="K22" s="5" t="n">
        <v>0</v>
      </c>
      <c r="L22" s="5" t="n">
        <v>0</v>
      </c>
      <c r="M22" s="5" t="n">
        <v>0</v>
      </c>
      <c r="N22" s="5" t="n">
        <v>0</v>
      </c>
      <c r="O22" s="5" t="n">
        <v>0</v>
      </c>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row>
    <row r="23" customFormat="false" ht="23.85" hidden="false" customHeight="false" outlineLevel="0" collapsed="false">
      <c r="A23" s="5" t="n">
        <v>22</v>
      </c>
      <c r="B23" s="5" t="s">
        <v>892</v>
      </c>
      <c r="C23" s="5" t="n">
        <v>0</v>
      </c>
      <c r="D23" s="5" t="n">
        <v>0</v>
      </c>
      <c r="E23" s="5" t="n">
        <v>0</v>
      </c>
      <c r="F23" s="5" t="n">
        <v>0</v>
      </c>
      <c r="G23" s="5" t="n">
        <v>0</v>
      </c>
      <c r="H23" s="5" t="n">
        <v>0</v>
      </c>
      <c r="I23" s="5" t="n">
        <v>1</v>
      </c>
      <c r="J23" s="5" t="n">
        <v>0</v>
      </c>
      <c r="K23" s="5" t="n">
        <v>0</v>
      </c>
      <c r="L23" s="5" t="n">
        <v>0</v>
      </c>
      <c r="M23" s="5" t="n">
        <v>0</v>
      </c>
      <c r="N23" s="5" t="n">
        <v>0</v>
      </c>
      <c r="O23" s="5" t="n">
        <v>0</v>
      </c>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row>
    <row r="24" customFormat="false" ht="23.85" hidden="false" customHeight="false" outlineLevel="0" collapsed="false">
      <c r="A24" s="5" t="n">
        <v>23</v>
      </c>
      <c r="B24" s="5" t="s">
        <v>896</v>
      </c>
      <c r="C24" s="5" t="n">
        <v>0</v>
      </c>
      <c r="D24" s="5" t="n">
        <v>0</v>
      </c>
      <c r="E24" s="5" t="n">
        <v>0</v>
      </c>
      <c r="F24" s="5" t="n">
        <v>0</v>
      </c>
      <c r="G24" s="5" t="n">
        <v>0</v>
      </c>
      <c r="H24" s="5" t="n">
        <v>0</v>
      </c>
      <c r="I24" s="5" t="n">
        <v>1</v>
      </c>
      <c r="J24" s="5" t="n">
        <v>1</v>
      </c>
      <c r="K24" s="5" t="n">
        <v>0</v>
      </c>
      <c r="L24" s="5" t="n">
        <v>0</v>
      </c>
      <c r="M24" s="5" t="n">
        <v>0</v>
      </c>
      <c r="N24" s="5" t="n">
        <v>1</v>
      </c>
      <c r="O24" s="5" t="n">
        <v>0</v>
      </c>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row>
    <row r="25" customFormat="false" ht="23.85" hidden="false" customHeight="false" outlineLevel="0" collapsed="false">
      <c r="A25" s="5" t="n">
        <v>24</v>
      </c>
      <c r="B25" s="5" t="s">
        <v>899</v>
      </c>
      <c r="C25" s="5" t="n">
        <v>1</v>
      </c>
      <c r="D25" s="5" t="n">
        <v>0</v>
      </c>
      <c r="E25" s="5" t="n">
        <v>1</v>
      </c>
      <c r="F25" s="5" t="n">
        <v>0</v>
      </c>
      <c r="G25" s="5" t="n">
        <v>0</v>
      </c>
      <c r="H25" s="5" t="n">
        <v>0</v>
      </c>
      <c r="I25" s="5" t="n">
        <v>1</v>
      </c>
      <c r="J25" s="5" t="n">
        <v>0</v>
      </c>
      <c r="K25" s="5" t="n">
        <v>0</v>
      </c>
      <c r="L25" s="5" t="n">
        <v>0</v>
      </c>
      <c r="M25" s="5" t="n">
        <v>0</v>
      </c>
      <c r="N25" s="5" t="n">
        <v>1</v>
      </c>
      <c r="O25" s="5" t="n">
        <v>0</v>
      </c>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row>
    <row r="26" customFormat="false" ht="23.85" hidden="false" customHeight="false" outlineLevel="0" collapsed="false">
      <c r="A26" s="5" t="n">
        <v>25</v>
      </c>
      <c r="B26" s="5" t="s">
        <v>902</v>
      </c>
      <c r="C26" s="5" t="n">
        <v>1</v>
      </c>
      <c r="D26" s="5" t="n">
        <v>0</v>
      </c>
      <c r="E26" s="5" t="n">
        <v>1</v>
      </c>
      <c r="F26" s="5" t="n">
        <v>0</v>
      </c>
      <c r="G26" s="5" t="n">
        <v>0</v>
      </c>
      <c r="H26" s="5" t="n">
        <v>0</v>
      </c>
      <c r="I26" s="5" t="n">
        <v>1</v>
      </c>
      <c r="J26" s="5" t="n">
        <v>0</v>
      </c>
      <c r="K26" s="5" t="n">
        <v>0</v>
      </c>
      <c r="L26" s="5" t="n">
        <v>0</v>
      </c>
      <c r="M26" s="5" t="n">
        <v>0</v>
      </c>
      <c r="N26" s="5" t="n">
        <v>0</v>
      </c>
      <c r="O26" s="5" t="n">
        <v>0</v>
      </c>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row>
    <row r="27" customFormat="false" ht="23.85" hidden="false" customHeight="false" outlineLevel="0" collapsed="false">
      <c r="A27" s="5" t="n">
        <v>26</v>
      </c>
      <c r="B27" s="5" t="s">
        <v>906</v>
      </c>
      <c r="C27" s="5" t="n">
        <v>1</v>
      </c>
      <c r="D27" s="5" t="n">
        <v>0</v>
      </c>
      <c r="E27" s="5" t="n">
        <v>1</v>
      </c>
      <c r="F27" s="5" t="n">
        <v>0</v>
      </c>
      <c r="G27" s="5" t="n">
        <v>0</v>
      </c>
      <c r="H27" s="5" t="n">
        <v>0</v>
      </c>
      <c r="I27" s="5" t="n">
        <v>0</v>
      </c>
      <c r="J27" s="5" t="n">
        <v>0</v>
      </c>
      <c r="K27" s="5" t="n">
        <v>0</v>
      </c>
      <c r="L27" s="5" t="n">
        <v>0</v>
      </c>
      <c r="M27" s="5" t="n">
        <v>0</v>
      </c>
      <c r="N27" s="5" t="n">
        <v>0</v>
      </c>
      <c r="O27" s="5" t="n">
        <v>0</v>
      </c>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row>
    <row r="28" customFormat="false" ht="23.85" hidden="false" customHeight="false" outlineLevel="0" collapsed="false">
      <c r="A28" s="5" t="n">
        <v>27</v>
      </c>
      <c r="B28" s="5" t="s">
        <v>115</v>
      </c>
      <c r="C28" s="5" t="n">
        <v>0</v>
      </c>
      <c r="D28" s="5" t="n">
        <v>0</v>
      </c>
      <c r="E28" s="5" t="n">
        <v>0</v>
      </c>
      <c r="F28" s="5" t="n">
        <v>0</v>
      </c>
      <c r="G28" s="5" t="n">
        <v>0</v>
      </c>
      <c r="H28" s="5" t="n">
        <v>0</v>
      </c>
      <c r="I28" s="5" t="n">
        <v>1</v>
      </c>
      <c r="J28" s="5" t="n">
        <v>0</v>
      </c>
      <c r="K28" s="5" t="n">
        <v>0</v>
      </c>
      <c r="L28" s="5" t="n">
        <v>0</v>
      </c>
      <c r="M28" s="5" t="n">
        <v>0</v>
      </c>
      <c r="N28" s="5" t="n">
        <v>0</v>
      </c>
      <c r="O28" s="5" t="n">
        <v>0</v>
      </c>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row>
    <row r="29" customFormat="false" ht="23.85" hidden="false" customHeight="false" outlineLevel="0" collapsed="false">
      <c r="A29" s="5" t="n">
        <v>28</v>
      </c>
      <c r="B29" s="5" t="s">
        <v>914</v>
      </c>
      <c r="C29" s="5" t="n">
        <v>0</v>
      </c>
      <c r="D29" s="5" t="n">
        <v>0</v>
      </c>
      <c r="E29" s="5" t="n">
        <v>0</v>
      </c>
      <c r="F29" s="5" t="n">
        <v>0</v>
      </c>
      <c r="G29" s="5" t="n">
        <v>0</v>
      </c>
      <c r="H29" s="5" t="n">
        <v>0</v>
      </c>
      <c r="I29" s="5" t="n">
        <v>1</v>
      </c>
      <c r="J29" s="5" t="n">
        <v>0</v>
      </c>
      <c r="K29" s="5" t="n">
        <v>0</v>
      </c>
      <c r="L29" s="5" t="n">
        <v>1</v>
      </c>
      <c r="M29" s="5" t="n">
        <v>0</v>
      </c>
      <c r="N29" s="5" t="n">
        <v>0</v>
      </c>
      <c r="O29" s="5" t="n">
        <v>0</v>
      </c>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row>
    <row r="30" customFormat="false" ht="23.85" hidden="false" customHeight="false" outlineLevel="0" collapsed="false">
      <c r="A30" s="5" t="n">
        <v>29</v>
      </c>
      <c r="B30" s="5" t="s">
        <v>917</v>
      </c>
      <c r="C30" s="5" t="n">
        <v>0</v>
      </c>
      <c r="D30" s="5" t="n">
        <v>1</v>
      </c>
      <c r="E30" s="5" t="n">
        <v>0</v>
      </c>
      <c r="F30" s="5" t="n">
        <v>0</v>
      </c>
      <c r="G30" s="5" t="n">
        <v>0</v>
      </c>
      <c r="H30" s="5" t="n">
        <v>0</v>
      </c>
      <c r="I30" s="5" t="n">
        <v>1</v>
      </c>
      <c r="J30" s="5" t="n">
        <v>0</v>
      </c>
      <c r="K30" s="5" t="n">
        <v>0</v>
      </c>
      <c r="L30" s="5" t="n">
        <v>0</v>
      </c>
      <c r="M30" s="5" t="n">
        <v>0</v>
      </c>
      <c r="N30" s="5" t="n">
        <v>0</v>
      </c>
      <c r="O30" s="5" t="n">
        <v>0</v>
      </c>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row>
    <row r="31" customFormat="false" ht="23.85" hidden="false" customHeight="false" outlineLevel="0" collapsed="false">
      <c r="A31" s="5" t="n">
        <v>30</v>
      </c>
      <c r="B31" s="5" t="s">
        <v>921</v>
      </c>
      <c r="C31" s="5" t="n">
        <v>0</v>
      </c>
      <c r="D31" s="5" t="n">
        <v>1</v>
      </c>
      <c r="E31" s="5" t="n">
        <v>0</v>
      </c>
      <c r="F31" s="5" t="n">
        <v>0</v>
      </c>
      <c r="G31" s="5" t="n">
        <v>0</v>
      </c>
      <c r="H31" s="5" t="n">
        <v>0</v>
      </c>
      <c r="I31" s="5" t="n">
        <v>1</v>
      </c>
      <c r="J31" s="5" t="n">
        <v>0</v>
      </c>
      <c r="K31" s="5" t="n">
        <v>0</v>
      </c>
      <c r="L31" s="5" t="n">
        <v>0</v>
      </c>
      <c r="M31" s="5" t="n">
        <v>0</v>
      </c>
      <c r="N31" s="5" t="n">
        <v>0</v>
      </c>
      <c r="O31" s="5" t="n">
        <v>0</v>
      </c>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row>
    <row r="32" customFormat="false" ht="23.85" hidden="false" customHeight="false" outlineLevel="0" collapsed="false">
      <c r="A32" s="5" t="n">
        <v>31</v>
      </c>
      <c r="B32" s="5" t="s">
        <v>924</v>
      </c>
      <c r="C32" s="5" t="n">
        <v>0</v>
      </c>
      <c r="D32" s="5" t="n">
        <v>0</v>
      </c>
      <c r="E32" s="5" t="n">
        <v>0</v>
      </c>
      <c r="F32" s="5" t="n">
        <v>0</v>
      </c>
      <c r="G32" s="5" t="n">
        <v>0</v>
      </c>
      <c r="H32" s="5" t="n">
        <v>0</v>
      </c>
      <c r="I32" s="5" t="n">
        <v>0</v>
      </c>
      <c r="J32" s="5" t="n">
        <v>0</v>
      </c>
      <c r="K32" s="5" t="n">
        <v>0</v>
      </c>
      <c r="L32" s="5" t="n">
        <v>0</v>
      </c>
      <c r="M32" s="5" t="n">
        <v>0</v>
      </c>
      <c r="N32" s="5" t="n">
        <v>0</v>
      </c>
      <c r="O32" s="5" t="n">
        <v>0</v>
      </c>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row>
    <row r="33" customFormat="false" ht="23.85" hidden="false" customHeight="false" outlineLevel="0" collapsed="false">
      <c r="A33" s="5" t="n">
        <v>32</v>
      </c>
      <c r="B33" s="5" t="s">
        <v>928</v>
      </c>
      <c r="C33" s="5" t="n">
        <v>1</v>
      </c>
      <c r="D33" s="5" t="n">
        <v>0</v>
      </c>
      <c r="E33" s="5" t="n">
        <v>1</v>
      </c>
      <c r="F33" s="5" t="n">
        <v>0</v>
      </c>
      <c r="G33" s="5" t="n">
        <v>0</v>
      </c>
      <c r="H33" s="5" t="n">
        <v>0</v>
      </c>
      <c r="I33" s="5" t="n">
        <v>0</v>
      </c>
      <c r="J33" s="5" t="n">
        <v>0</v>
      </c>
      <c r="K33" s="5" t="n">
        <v>0</v>
      </c>
      <c r="L33" s="5" t="n">
        <v>0</v>
      </c>
      <c r="M33" s="5" t="n">
        <v>0</v>
      </c>
      <c r="N33" s="5" t="n">
        <v>0</v>
      </c>
      <c r="O33" s="5" t="n">
        <v>0</v>
      </c>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row>
    <row r="34" customFormat="false" ht="23.85" hidden="false" customHeight="false" outlineLevel="0" collapsed="false">
      <c r="A34" s="5" t="n">
        <v>33</v>
      </c>
      <c r="B34" s="5" t="s">
        <v>932</v>
      </c>
      <c r="C34" s="5" t="n">
        <v>0</v>
      </c>
      <c r="D34" s="5" t="n">
        <v>0</v>
      </c>
      <c r="E34" s="5" t="n">
        <v>0</v>
      </c>
      <c r="F34" s="5" t="n">
        <v>0</v>
      </c>
      <c r="G34" s="5" t="n">
        <v>0</v>
      </c>
      <c r="H34" s="5" t="n">
        <v>0</v>
      </c>
      <c r="I34" s="5" t="n">
        <v>0</v>
      </c>
      <c r="J34" s="5" t="n">
        <v>0</v>
      </c>
      <c r="K34" s="5" t="n">
        <v>0</v>
      </c>
      <c r="L34" s="5" t="n">
        <v>0</v>
      </c>
      <c r="M34" s="5" t="n">
        <v>0</v>
      </c>
      <c r="N34" s="5" t="n">
        <v>1</v>
      </c>
      <c r="O34" s="5" t="n">
        <v>0</v>
      </c>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row>
    <row r="35" customFormat="false" ht="23.85" hidden="false" customHeight="false" outlineLevel="0" collapsed="false">
      <c r="A35" s="5" t="n">
        <v>34</v>
      </c>
      <c r="B35" s="5" t="s">
        <v>935</v>
      </c>
      <c r="C35" s="5" t="n">
        <v>0</v>
      </c>
      <c r="D35" s="5" t="n">
        <v>0</v>
      </c>
      <c r="E35" s="5" t="n">
        <v>0</v>
      </c>
      <c r="F35" s="5" t="n">
        <v>0</v>
      </c>
      <c r="G35" s="5" t="n">
        <v>0</v>
      </c>
      <c r="H35" s="5" t="n">
        <v>0</v>
      </c>
      <c r="I35" s="5" t="n">
        <v>1</v>
      </c>
      <c r="J35" s="5" t="n">
        <v>0</v>
      </c>
      <c r="K35" s="5" t="n">
        <v>1</v>
      </c>
      <c r="L35" s="5" t="n">
        <v>0</v>
      </c>
      <c r="M35" s="5" t="n">
        <v>0</v>
      </c>
      <c r="N35" s="5" t="n">
        <v>0</v>
      </c>
      <c r="O35" s="5" t="n">
        <v>0</v>
      </c>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row>
    <row r="36" customFormat="false" ht="15" hidden="false" customHeight="false" outlineLevel="0" collapsed="false">
      <c r="A36" s="5" t="n">
        <v>35</v>
      </c>
      <c r="B36" s="5" t="s">
        <v>132</v>
      </c>
      <c r="C36" s="5" t="n">
        <v>1</v>
      </c>
      <c r="D36" s="5" t="n">
        <v>0</v>
      </c>
      <c r="E36" s="5" t="n">
        <v>1</v>
      </c>
      <c r="F36" s="5" t="n">
        <v>0</v>
      </c>
      <c r="G36" s="5" t="n">
        <v>0</v>
      </c>
      <c r="H36" s="5" t="n">
        <v>0</v>
      </c>
      <c r="I36" s="5" t="n">
        <v>0</v>
      </c>
      <c r="J36" s="5" t="n">
        <v>0</v>
      </c>
      <c r="K36" s="5" t="n">
        <v>0</v>
      </c>
      <c r="L36" s="5" t="n">
        <v>0</v>
      </c>
      <c r="M36" s="5" t="n">
        <v>0</v>
      </c>
      <c r="N36" s="5" t="n">
        <v>1</v>
      </c>
      <c r="O36" s="5" t="n">
        <v>0</v>
      </c>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row>
    <row r="37" customFormat="false" ht="23.85" hidden="false" customHeight="false" outlineLevel="0" collapsed="false">
      <c r="A37" s="5" t="n">
        <v>36</v>
      </c>
      <c r="B37" s="5" t="s">
        <v>134</v>
      </c>
      <c r="C37" s="5" t="n">
        <v>0</v>
      </c>
      <c r="D37" s="5" t="n">
        <v>0</v>
      </c>
      <c r="E37" s="5" t="n">
        <v>0</v>
      </c>
      <c r="F37" s="5" t="n">
        <v>0</v>
      </c>
      <c r="G37" s="5" t="n">
        <v>0</v>
      </c>
      <c r="H37" s="5" t="n">
        <v>0</v>
      </c>
      <c r="I37" s="5" t="n">
        <v>1</v>
      </c>
      <c r="J37" s="5" t="n">
        <v>0</v>
      </c>
      <c r="K37" s="5" t="n">
        <v>0</v>
      </c>
      <c r="L37" s="5" t="n">
        <v>0</v>
      </c>
      <c r="M37" s="5" t="n">
        <v>0</v>
      </c>
      <c r="N37" s="5" t="n">
        <v>0</v>
      </c>
      <c r="O37" s="5" t="n">
        <v>0</v>
      </c>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row>
    <row r="38" customFormat="false" ht="23.85" hidden="false" customHeight="false" outlineLevel="0" collapsed="false">
      <c r="A38" s="5" t="n">
        <v>37</v>
      </c>
      <c r="B38" s="5" t="s">
        <v>944</v>
      </c>
      <c r="C38" s="5" t="n">
        <v>0</v>
      </c>
      <c r="D38" s="5" t="n">
        <v>0</v>
      </c>
      <c r="E38" s="5" t="n">
        <v>0</v>
      </c>
      <c r="F38" s="5" t="n">
        <v>0</v>
      </c>
      <c r="G38" s="5" t="n">
        <v>0</v>
      </c>
      <c r="H38" s="5" t="n">
        <v>0</v>
      </c>
      <c r="I38" s="5" t="n">
        <v>1</v>
      </c>
      <c r="J38" s="5" t="n">
        <v>0</v>
      </c>
      <c r="K38" s="5" t="n">
        <v>0</v>
      </c>
      <c r="L38" s="5" t="n">
        <v>0</v>
      </c>
      <c r="M38" s="5" t="n">
        <v>0</v>
      </c>
      <c r="N38" s="5" t="n">
        <v>0</v>
      </c>
      <c r="O38" s="5" t="n">
        <v>0</v>
      </c>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row>
    <row r="39" customFormat="false" ht="23.85" hidden="false" customHeight="false" outlineLevel="0" collapsed="false">
      <c r="A39" s="5" t="n">
        <v>38</v>
      </c>
      <c r="B39" s="5" t="s">
        <v>947</v>
      </c>
      <c r="C39" s="5" t="n">
        <v>1</v>
      </c>
      <c r="D39" s="5" t="n">
        <v>0</v>
      </c>
      <c r="E39" s="5" t="n">
        <v>1</v>
      </c>
      <c r="F39" s="5" t="n">
        <v>0</v>
      </c>
      <c r="G39" s="5" t="n">
        <v>0</v>
      </c>
      <c r="H39" s="5" t="n">
        <v>0</v>
      </c>
      <c r="I39" s="5" t="n">
        <v>0</v>
      </c>
      <c r="J39" s="5" t="n">
        <v>0</v>
      </c>
      <c r="K39" s="5" t="n">
        <v>0</v>
      </c>
      <c r="L39" s="5" t="n">
        <v>0</v>
      </c>
      <c r="M39" s="5" t="n">
        <v>0</v>
      </c>
      <c r="N39" s="5" t="n">
        <v>1</v>
      </c>
      <c r="O39" s="5" t="n">
        <v>0</v>
      </c>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row>
    <row r="40" customFormat="false" ht="23.85" hidden="false" customHeight="false" outlineLevel="0" collapsed="false">
      <c r="A40" s="5" t="n">
        <v>39</v>
      </c>
      <c r="B40" s="5" t="s">
        <v>949</v>
      </c>
      <c r="C40" s="5" t="n">
        <v>1</v>
      </c>
      <c r="D40" s="5" t="n">
        <v>0</v>
      </c>
      <c r="E40" s="5" t="n">
        <v>1</v>
      </c>
      <c r="F40" s="5" t="n">
        <v>0</v>
      </c>
      <c r="G40" s="5" t="n">
        <v>0</v>
      </c>
      <c r="H40" s="5" t="n">
        <v>0</v>
      </c>
      <c r="I40" s="5" t="n">
        <v>0</v>
      </c>
      <c r="J40" s="5" t="n">
        <v>0</v>
      </c>
      <c r="K40" s="5" t="n">
        <v>0</v>
      </c>
      <c r="L40" s="5" t="n">
        <v>0</v>
      </c>
      <c r="M40" s="5" t="n">
        <v>0</v>
      </c>
      <c r="N40" s="5" t="n">
        <v>0</v>
      </c>
      <c r="O40" s="5" t="n">
        <v>0</v>
      </c>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row>
    <row r="41" customFormat="false" ht="23.85" hidden="false" customHeight="false" outlineLevel="0" collapsed="false">
      <c r="A41" s="5" t="n">
        <v>40</v>
      </c>
      <c r="B41" s="5" t="s">
        <v>952</v>
      </c>
      <c r="C41" s="5" t="n">
        <v>0</v>
      </c>
      <c r="D41" s="5" t="n">
        <v>0</v>
      </c>
      <c r="E41" s="5" t="n">
        <v>0</v>
      </c>
      <c r="F41" s="5" t="n">
        <v>1</v>
      </c>
      <c r="G41" s="5" t="n">
        <v>0</v>
      </c>
      <c r="H41" s="5" t="n">
        <v>0</v>
      </c>
      <c r="I41" s="5" t="n">
        <v>0</v>
      </c>
      <c r="J41" s="5" t="n">
        <v>0</v>
      </c>
      <c r="K41" s="5" t="n">
        <v>0</v>
      </c>
      <c r="L41" s="5" t="n">
        <v>0</v>
      </c>
      <c r="M41" s="5" t="n">
        <v>0</v>
      </c>
      <c r="N41" s="5" t="n">
        <v>0</v>
      </c>
      <c r="O41" s="5" t="n">
        <v>0</v>
      </c>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row>
    <row r="42" customFormat="false" ht="23.85" hidden="false" customHeight="false" outlineLevel="0" collapsed="false">
      <c r="A42" s="5" t="n">
        <v>41</v>
      </c>
      <c r="B42" s="5" t="s">
        <v>956</v>
      </c>
      <c r="C42" s="5" t="n">
        <v>0</v>
      </c>
      <c r="D42" s="5" t="n">
        <v>0</v>
      </c>
      <c r="E42" s="5" t="n">
        <v>0</v>
      </c>
      <c r="F42" s="5" t="n">
        <v>0</v>
      </c>
      <c r="G42" s="5" t="n">
        <v>0</v>
      </c>
      <c r="H42" s="5" t="n">
        <v>0</v>
      </c>
      <c r="I42" s="5" t="n">
        <v>0</v>
      </c>
      <c r="J42" s="5" t="n">
        <v>0</v>
      </c>
      <c r="K42" s="5" t="n">
        <v>0</v>
      </c>
      <c r="L42" s="5" t="n">
        <v>0</v>
      </c>
      <c r="M42" s="5" t="n">
        <v>0</v>
      </c>
      <c r="N42" s="5" t="n">
        <v>0</v>
      </c>
      <c r="O42" s="5" t="n">
        <v>0</v>
      </c>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row>
    <row r="43" customFormat="false" ht="23.85" hidden="false" customHeight="false" outlineLevel="0" collapsed="false">
      <c r="A43" s="5" t="n">
        <v>42</v>
      </c>
      <c r="B43" s="5" t="s">
        <v>959</v>
      </c>
      <c r="C43" s="5" t="n">
        <v>1</v>
      </c>
      <c r="D43" s="5" t="n">
        <v>0</v>
      </c>
      <c r="E43" s="5" t="n">
        <v>1</v>
      </c>
      <c r="F43" s="5" t="n">
        <v>0</v>
      </c>
      <c r="G43" s="5" t="n">
        <v>0</v>
      </c>
      <c r="H43" s="5" t="n">
        <v>1</v>
      </c>
      <c r="I43" s="5" t="n">
        <v>0</v>
      </c>
      <c r="J43" s="5" t="n">
        <v>0</v>
      </c>
      <c r="K43" s="5" t="n">
        <v>0</v>
      </c>
      <c r="L43" s="5" t="n">
        <v>0</v>
      </c>
      <c r="M43" s="5" t="n">
        <v>0</v>
      </c>
      <c r="N43" s="5" t="n">
        <v>0</v>
      </c>
      <c r="O43" s="5" t="n">
        <v>0</v>
      </c>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row>
    <row r="44" customFormat="false" ht="23.85" hidden="false" customHeight="false" outlineLevel="0" collapsed="false">
      <c r="A44" s="5" t="n">
        <v>43</v>
      </c>
      <c r="B44" s="5" t="s">
        <v>962</v>
      </c>
      <c r="C44" s="5" t="n">
        <v>0</v>
      </c>
      <c r="D44" s="5" t="n">
        <v>0</v>
      </c>
      <c r="E44" s="5" t="n">
        <v>0</v>
      </c>
      <c r="F44" s="5" t="n">
        <v>0</v>
      </c>
      <c r="G44" s="5" t="n">
        <v>1</v>
      </c>
      <c r="H44" s="5" t="n">
        <v>0</v>
      </c>
      <c r="I44" s="5" t="n">
        <v>1</v>
      </c>
      <c r="J44" s="5" t="n">
        <v>0</v>
      </c>
      <c r="K44" s="5" t="n">
        <v>0</v>
      </c>
      <c r="L44" s="5" t="n">
        <v>0</v>
      </c>
      <c r="M44" s="5" t="n">
        <v>0</v>
      </c>
      <c r="N44" s="5" t="n">
        <v>0</v>
      </c>
      <c r="O44" s="5" t="n">
        <v>0</v>
      </c>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row>
    <row r="45" customFormat="false" ht="23.85" hidden="false" customHeight="false" outlineLevel="0" collapsed="false">
      <c r="A45" s="5" t="n">
        <v>44</v>
      </c>
      <c r="B45" s="5" t="s">
        <v>965</v>
      </c>
      <c r="C45" s="5" t="n">
        <v>0</v>
      </c>
      <c r="D45" s="5" t="n">
        <v>0</v>
      </c>
      <c r="E45" s="5" t="n">
        <v>0</v>
      </c>
      <c r="F45" s="5" t="n">
        <v>0</v>
      </c>
      <c r="G45" s="5" t="n">
        <v>1</v>
      </c>
      <c r="H45" s="5" t="n">
        <v>0</v>
      </c>
      <c r="I45" s="5" t="n">
        <v>0</v>
      </c>
      <c r="J45" s="5" t="n">
        <v>0</v>
      </c>
      <c r="K45" s="5" t="n">
        <v>0</v>
      </c>
      <c r="L45" s="5" t="n">
        <v>0</v>
      </c>
      <c r="M45" s="5" t="n">
        <v>0</v>
      </c>
      <c r="N45" s="5" t="n">
        <v>1</v>
      </c>
      <c r="O45" s="5" t="n">
        <v>0</v>
      </c>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row>
    <row r="46" customFormat="false" ht="23.85" hidden="false" customHeight="false" outlineLevel="0" collapsed="false">
      <c r="A46" s="5" t="n">
        <v>45</v>
      </c>
      <c r="B46" s="5" t="s">
        <v>968</v>
      </c>
      <c r="C46" s="5" t="n">
        <v>0</v>
      </c>
      <c r="D46" s="5" t="n">
        <v>0</v>
      </c>
      <c r="E46" s="5" t="n">
        <v>0</v>
      </c>
      <c r="F46" s="5" t="n">
        <v>0</v>
      </c>
      <c r="G46" s="5" t="n">
        <v>0</v>
      </c>
      <c r="H46" s="5" t="n">
        <v>0</v>
      </c>
      <c r="I46" s="5" t="n">
        <v>1</v>
      </c>
      <c r="J46" s="5" t="n">
        <v>0</v>
      </c>
      <c r="K46" s="5" t="n">
        <v>0</v>
      </c>
      <c r="L46" s="5" t="n">
        <v>0</v>
      </c>
      <c r="M46" s="5" t="n">
        <v>0</v>
      </c>
      <c r="N46" s="5" t="n">
        <v>1</v>
      </c>
      <c r="O46" s="5" t="n">
        <v>0</v>
      </c>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row>
    <row r="47" customFormat="false" ht="23.85" hidden="false" customHeight="false" outlineLevel="0" collapsed="false">
      <c r="A47" s="5" t="n">
        <v>46</v>
      </c>
      <c r="B47" s="5" t="s">
        <v>970</v>
      </c>
      <c r="C47" s="5" t="n">
        <v>0</v>
      </c>
      <c r="D47" s="5" t="n">
        <v>0</v>
      </c>
      <c r="E47" s="5" t="n">
        <v>0</v>
      </c>
      <c r="F47" s="5" t="n">
        <v>0</v>
      </c>
      <c r="G47" s="5" t="n">
        <v>0</v>
      </c>
      <c r="H47" s="5" t="n">
        <v>0</v>
      </c>
      <c r="I47" s="5" t="n">
        <v>0</v>
      </c>
      <c r="J47" s="5" t="n">
        <v>0</v>
      </c>
      <c r="K47" s="5" t="n">
        <v>0</v>
      </c>
      <c r="L47" s="5" t="n">
        <v>0</v>
      </c>
      <c r="M47" s="5" t="n">
        <v>0</v>
      </c>
      <c r="N47" s="5" t="n">
        <v>0</v>
      </c>
      <c r="O47" s="5" t="n">
        <v>0</v>
      </c>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row>
    <row r="48" customFormat="false" ht="23.85" hidden="false" customHeight="false" outlineLevel="0" collapsed="false">
      <c r="A48" s="5" t="n">
        <v>47</v>
      </c>
      <c r="B48" s="5" t="s">
        <v>973</v>
      </c>
      <c r="C48" s="5" t="n">
        <v>0</v>
      </c>
      <c r="D48" s="5" t="n">
        <v>0</v>
      </c>
      <c r="E48" s="5" t="n">
        <v>0</v>
      </c>
      <c r="F48" s="5" t="n">
        <v>0</v>
      </c>
      <c r="G48" s="5" t="n">
        <v>0</v>
      </c>
      <c r="H48" s="5" t="n">
        <v>0</v>
      </c>
      <c r="I48" s="5" t="n">
        <v>1</v>
      </c>
      <c r="J48" s="5" t="n">
        <v>0</v>
      </c>
      <c r="K48" s="5" t="n">
        <v>0</v>
      </c>
      <c r="L48" s="5" t="n">
        <v>0</v>
      </c>
      <c r="M48" s="5" t="n">
        <v>0</v>
      </c>
      <c r="N48" s="5" t="n">
        <v>0</v>
      </c>
      <c r="O48" s="5" t="n">
        <v>0</v>
      </c>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row>
    <row r="49" customFormat="false" ht="23.85" hidden="false" customHeight="false" outlineLevel="0" collapsed="false">
      <c r="A49" s="5" t="n">
        <v>48</v>
      </c>
      <c r="B49" s="5" t="s">
        <v>976</v>
      </c>
      <c r="C49" s="5" t="n">
        <v>1</v>
      </c>
      <c r="D49" s="5" t="n">
        <v>0</v>
      </c>
      <c r="E49" s="5" t="n">
        <v>1</v>
      </c>
      <c r="F49" s="5" t="n">
        <v>0</v>
      </c>
      <c r="G49" s="5" t="n">
        <v>0</v>
      </c>
      <c r="H49" s="5" t="n">
        <v>0</v>
      </c>
      <c r="I49" s="5" t="n">
        <v>1</v>
      </c>
      <c r="J49" s="5" t="n">
        <v>0</v>
      </c>
      <c r="K49" s="5" t="n">
        <v>0</v>
      </c>
      <c r="L49" s="5" t="n">
        <v>0</v>
      </c>
      <c r="M49" s="5" t="n">
        <v>0</v>
      </c>
      <c r="N49" s="5" t="n">
        <v>0</v>
      </c>
      <c r="O49" s="5" t="n">
        <v>0</v>
      </c>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row>
    <row r="50" customFormat="false" ht="23.85" hidden="false" customHeight="false" outlineLevel="0" collapsed="false">
      <c r="A50" s="5" t="n">
        <v>49</v>
      </c>
      <c r="B50" s="5" t="s">
        <v>979</v>
      </c>
      <c r="C50" s="5" t="n">
        <v>0</v>
      </c>
      <c r="D50" s="5" t="n">
        <v>0</v>
      </c>
      <c r="E50" s="5" t="n">
        <v>0</v>
      </c>
      <c r="F50" s="5" t="n">
        <v>0</v>
      </c>
      <c r="G50" s="5" t="n">
        <v>0</v>
      </c>
      <c r="H50" s="5" t="n">
        <v>0</v>
      </c>
      <c r="I50" s="5" t="n">
        <v>0</v>
      </c>
      <c r="J50" s="5" t="n">
        <v>0</v>
      </c>
      <c r="K50" s="5" t="n">
        <v>0</v>
      </c>
      <c r="L50" s="5" t="n">
        <v>0</v>
      </c>
      <c r="M50" s="5" t="n">
        <v>0</v>
      </c>
      <c r="N50" s="5" t="n">
        <v>0</v>
      </c>
      <c r="O50" s="5" t="n">
        <v>0</v>
      </c>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row>
    <row r="51" customFormat="false" ht="23.85" hidden="false" customHeight="false" outlineLevel="0" collapsed="false">
      <c r="A51" s="5" t="n">
        <v>50</v>
      </c>
      <c r="B51" s="5" t="s">
        <v>981</v>
      </c>
      <c r="C51" s="5" t="n">
        <v>1</v>
      </c>
      <c r="D51" s="5" t="n">
        <v>0</v>
      </c>
      <c r="E51" s="5" t="n">
        <v>1</v>
      </c>
      <c r="F51" s="5" t="n">
        <v>0</v>
      </c>
      <c r="G51" s="5" t="n">
        <v>0</v>
      </c>
      <c r="H51" s="5" t="n">
        <v>0</v>
      </c>
      <c r="I51" s="5" t="n">
        <v>0</v>
      </c>
      <c r="J51" s="5" t="n">
        <v>0</v>
      </c>
      <c r="K51" s="5" t="n">
        <v>0</v>
      </c>
      <c r="L51" s="5" t="n">
        <v>0</v>
      </c>
      <c r="M51" s="5" t="n">
        <v>0</v>
      </c>
      <c r="N51" s="5" t="n">
        <v>0</v>
      </c>
      <c r="O51" s="5" t="n">
        <v>0</v>
      </c>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row>
    <row r="52" customFormat="false" ht="23.85" hidden="false" customHeight="false" outlineLevel="0" collapsed="false">
      <c r="A52" s="5" t="n">
        <v>51</v>
      </c>
      <c r="B52" s="5" t="s">
        <v>983</v>
      </c>
      <c r="C52" s="5" t="n">
        <v>1</v>
      </c>
      <c r="D52" s="5" t="n">
        <v>0</v>
      </c>
      <c r="E52" s="5" t="n">
        <v>1</v>
      </c>
      <c r="F52" s="5" t="n">
        <v>1</v>
      </c>
      <c r="G52" s="5" t="n">
        <v>0</v>
      </c>
      <c r="H52" s="5" t="n">
        <v>0</v>
      </c>
      <c r="I52" s="5" t="n">
        <v>0</v>
      </c>
      <c r="J52" s="5" t="n">
        <v>0</v>
      </c>
      <c r="K52" s="5" t="n">
        <v>0</v>
      </c>
      <c r="L52" s="5" t="n">
        <v>0</v>
      </c>
      <c r="M52" s="5" t="n">
        <v>0</v>
      </c>
      <c r="N52" s="5" t="n">
        <v>0</v>
      </c>
      <c r="O52" s="5" t="n">
        <v>0</v>
      </c>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row>
    <row r="53" customFormat="false" ht="23.85" hidden="false" customHeight="false" outlineLevel="0" collapsed="false">
      <c r="A53" s="5" t="n">
        <v>52</v>
      </c>
      <c r="B53" s="5" t="s">
        <v>986</v>
      </c>
      <c r="C53" s="5" t="n">
        <v>1</v>
      </c>
      <c r="D53" s="5" t="n">
        <v>0</v>
      </c>
      <c r="E53" s="5" t="n">
        <v>1</v>
      </c>
      <c r="F53" s="5" t="n">
        <v>0</v>
      </c>
      <c r="G53" s="5" t="n">
        <v>0</v>
      </c>
      <c r="H53" s="5" t="n">
        <v>0</v>
      </c>
      <c r="I53" s="5" t="n">
        <v>1</v>
      </c>
      <c r="J53" s="5" t="n">
        <v>0</v>
      </c>
      <c r="K53" s="5" t="n">
        <v>0</v>
      </c>
      <c r="L53" s="5" t="n">
        <v>0</v>
      </c>
      <c r="M53" s="5" t="n">
        <v>0</v>
      </c>
      <c r="N53" s="5" t="n">
        <v>0</v>
      </c>
      <c r="O53" s="5" t="n">
        <v>0</v>
      </c>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row>
    <row r="54" customFormat="false" ht="23.85" hidden="false" customHeight="false" outlineLevel="0" collapsed="false">
      <c r="A54" s="5" t="n">
        <v>53</v>
      </c>
      <c r="B54" s="5" t="s">
        <v>990</v>
      </c>
      <c r="C54" s="5" t="n">
        <v>1</v>
      </c>
      <c r="D54" s="5" t="n">
        <v>0</v>
      </c>
      <c r="E54" s="5" t="n">
        <v>1</v>
      </c>
      <c r="F54" s="5" t="n">
        <v>0</v>
      </c>
      <c r="G54" s="5" t="n">
        <v>0</v>
      </c>
      <c r="H54" s="5" t="n">
        <v>0</v>
      </c>
      <c r="I54" s="5" t="n">
        <v>1</v>
      </c>
      <c r="J54" s="5" t="n">
        <v>0</v>
      </c>
      <c r="K54" s="5" t="n">
        <v>0</v>
      </c>
      <c r="L54" s="5" t="n">
        <v>0</v>
      </c>
      <c r="M54" s="5" t="n">
        <v>0</v>
      </c>
      <c r="N54" s="5" t="n">
        <v>0</v>
      </c>
      <c r="O54" s="5" t="n">
        <v>0</v>
      </c>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row>
    <row r="55" customFormat="false" ht="23.85" hidden="false" customHeight="false" outlineLevel="0" collapsed="false">
      <c r="A55" s="5" t="n">
        <v>54</v>
      </c>
      <c r="B55" s="5" t="s">
        <v>993</v>
      </c>
      <c r="C55" s="5" t="n">
        <v>1</v>
      </c>
      <c r="D55" s="5" t="n">
        <v>0</v>
      </c>
      <c r="E55" s="5" t="n">
        <v>1</v>
      </c>
      <c r="F55" s="5" t="n">
        <v>0</v>
      </c>
      <c r="G55" s="5" t="n">
        <v>0</v>
      </c>
      <c r="H55" s="5" t="n">
        <v>0</v>
      </c>
      <c r="I55" s="5" t="n">
        <v>1</v>
      </c>
      <c r="J55" s="5" t="n">
        <v>0</v>
      </c>
      <c r="K55" s="5" t="n">
        <v>0</v>
      </c>
      <c r="L55" s="5" t="n">
        <v>0</v>
      </c>
      <c r="M55" s="5" t="n">
        <v>0</v>
      </c>
      <c r="N55" s="5" t="n">
        <v>0</v>
      </c>
      <c r="O55" s="5" t="n">
        <v>0</v>
      </c>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row>
    <row r="56" customFormat="false" ht="23.85" hidden="false" customHeight="false" outlineLevel="0" collapsed="false">
      <c r="A56" s="5" t="n">
        <v>55</v>
      </c>
      <c r="B56" s="5" t="s">
        <v>996</v>
      </c>
      <c r="C56" s="5" t="n">
        <v>1</v>
      </c>
      <c r="D56" s="5" t="n">
        <v>0</v>
      </c>
      <c r="E56" s="5" t="n">
        <v>1</v>
      </c>
      <c r="F56" s="5" t="n">
        <v>0</v>
      </c>
      <c r="G56" s="5" t="n">
        <v>0</v>
      </c>
      <c r="H56" s="5" t="n">
        <v>0</v>
      </c>
      <c r="I56" s="5" t="n">
        <v>1</v>
      </c>
      <c r="J56" s="5" t="n">
        <v>0</v>
      </c>
      <c r="K56" s="5" t="n">
        <v>0</v>
      </c>
      <c r="L56" s="5" t="n">
        <v>0</v>
      </c>
      <c r="M56" s="5" t="n">
        <v>0</v>
      </c>
      <c r="N56" s="5" t="n">
        <v>0</v>
      </c>
      <c r="O56" s="5" t="n">
        <v>0</v>
      </c>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row>
    <row r="57" customFormat="false" ht="35.05" hidden="false" customHeight="false" outlineLevel="0" collapsed="false">
      <c r="A57" s="5" t="n">
        <v>56</v>
      </c>
      <c r="B57" s="5" t="s">
        <v>175</v>
      </c>
      <c r="C57" s="5" t="n">
        <v>1</v>
      </c>
      <c r="D57" s="5" t="n">
        <v>0</v>
      </c>
      <c r="E57" s="5" t="n">
        <v>1</v>
      </c>
      <c r="F57" s="5" t="n">
        <v>0</v>
      </c>
      <c r="G57" s="5" t="n">
        <v>0</v>
      </c>
      <c r="H57" s="5" t="n">
        <v>0</v>
      </c>
      <c r="I57" s="5" t="n">
        <v>0</v>
      </c>
      <c r="J57" s="5" t="n">
        <v>0</v>
      </c>
      <c r="K57" s="5" t="n">
        <v>0</v>
      </c>
      <c r="L57" s="5" t="n">
        <v>0</v>
      </c>
      <c r="M57" s="5" t="n">
        <v>1</v>
      </c>
      <c r="N57" s="5" t="n">
        <v>0</v>
      </c>
      <c r="O57" s="5" t="n">
        <v>0</v>
      </c>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row>
    <row r="58" customFormat="false" ht="23.85" hidden="false" customHeight="false" outlineLevel="0" collapsed="false">
      <c r="A58" s="5" t="n">
        <v>57</v>
      </c>
      <c r="B58" s="5" t="s">
        <v>177</v>
      </c>
      <c r="C58" s="5" t="n">
        <v>1</v>
      </c>
      <c r="D58" s="5" t="n">
        <v>0</v>
      </c>
      <c r="E58" s="5" t="n">
        <v>1</v>
      </c>
      <c r="F58" s="5" t="n">
        <v>0</v>
      </c>
      <c r="G58" s="5" t="n">
        <v>0</v>
      </c>
      <c r="H58" s="5" t="n">
        <v>0</v>
      </c>
      <c r="I58" s="5" t="n">
        <v>1</v>
      </c>
      <c r="J58" s="5" t="n">
        <v>0</v>
      </c>
      <c r="K58" s="5" t="n">
        <v>0</v>
      </c>
      <c r="L58" s="5" t="n">
        <v>0</v>
      </c>
      <c r="M58" s="5" t="n">
        <v>0</v>
      </c>
      <c r="N58" s="5" t="n">
        <v>0</v>
      </c>
      <c r="O58" s="5" t="n">
        <v>0</v>
      </c>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row>
    <row r="59" customFormat="false" ht="23.85" hidden="false" customHeight="false" outlineLevel="0" collapsed="false">
      <c r="A59" s="5" t="n">
        <v>58</v>
      </c>
      <c r="B59" s="5" t="s">
        <v>179</v>
      </c>
      <c r="C59" s="5" t="n">
        <v>0</v>
      </c>
      <c r="D59" s="5" t="n">
        <v>1</v>
      </c>
      <c r="E59" s="5" t="n">
        <v>0</v>
      </c>
      <c r="F59" s="5" t="n">
        <v>0</v>
      </c>
      <c r="G59" s="5" t="n">
        <v>0</v>
      </c>
      <c r="H59" s="5" t="n">
        <v>0</v>
      </c>
      <c r="I59" s="5" t="n">
        <v>0</v>
      </c>
      <c r="J59" s="5" t="n">
        <v>0</v>
      </c>
      <c r="K59" s="5" t="n">
        <v>0</v>
      </c>
      <c r="L59" s="5" t="n">
        <v>0</v>
      </c>
      <c r="M59" s="5" t="n">
        <v>0</v>
      </c>
      <c r="N59" s="5" t="n">
        <v>0</v>
      </c>
      <c r="O59" s="5" t="n">
        <v>0</v>
      </c>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row>
    <row r="60" customFormat="false" ht="15" hidden="false" customHeight="false" outlineLevel="0" collapsed="false">
      <c r="A60" s="1" t="n">
        <v>59</v>
      </c>
      <c r="B60" s="1" t="s">
        <v>181</v>
      </c>
      <c r="C60" s="1" t="n">
        <v>0</v>
      </c>
      <c r="D60" s="1" t="n">
        <v>1</v>
      </c>
      <c r="E60" s="1" t="n">
        <v>0</v>
      </c>
      <c r="F60" s="1" t="n">
        <v>1</v>
      </c>
      <c r="G60" s="1" t="n">
        <v>0</v>
      </c>
      <c r="H60" s="1" t="n">
        <v>0</v>
      </c>
      <c r="I60" s="1" t="n">
        <v>0</v>
      </c>
      <c r="J60" s="1" t="n">
        <v>0</v>
      </c>
      <c r="K60" s="1" t="n">
        <v>0</v>
      </c>
      <c r="L60" s="1" t="n">
        <v>0</v>
      </c>
      <c r="M60" s="1" t="n">
        <v>0</v>
      </c>
      <c r="N60" s="1" t="n">
        <v>0</v>
      </c>
      <c r="O60" s="1" t="n">
        <v>0</v>
      </c>
    </row>
  </sheetData>
  <conditionalFormatting sqref="C2:AZ59">
    <cfRule type="expression" priority="2" aboveAverage="0" equalAverage="0" bottom="0" percent="0" rank="0" text="" dxfId="36">
      <formula>C2=1</formula>
    </cfRule>
    <cfRule type="expression" priority="3" aboveAverage="0" equalAverage="0" bottom="0" percent="0" rank="0" text="" dxfId="37">
      <formula>C2=0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29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3" min="3" style="1" width="25"/>
    <col collapsed="false" customWidth="true" hidden="false" outlineLevel="0" max="4" min="4" style="1" width="45"/>
    <col collapsed="false" customWidth="true" hidden="false" outlineLevel="0" max="5" min="5" style="1" width="35"/>
    <col collapsed="false" customWidth="true" hidden="false" outlineLevel="0" max="6" min="6" style="1" width="16"/>
    <col collapsed="false" customWidth="true" hidden="false" outlineLevel="0" max="7" min="7" style="1" width="18"/>
  </cols>
  <sheetData>
    <row r="1" customFormat="false" ht="36" hidden="false" customHeight="true" outlineLevel="0" collapsed="false">
      <c r="A1" s="9" t="s">
        <v>805</v>
      </c>
      <c r="B1" s="11" t="s">
        <v>1012</v>
      </c>
      <c r="C1" s="11" t="s">
        <v>1720</v>
      </c>
      <c r="D1" s="11" t="s">
        <v>1721</v>
      </c>
      <c r="E1" s="11" t="s">
        <v>1487</v>
      </c>
      <c r="F1" s="11" t="s">
        <v>1722</v>
      </c>
      <c r="G1" s="11" t="s">
        <v>1723</v>
      </c>
      <c r="H1" s="11"/>
      <c r="I1" s="11"/>
      <c r="J1" s="11"/>
      <c r="K1" s="11"/>
      <c r="L1" s="11"/>
      <c r="M1" s="11"/>
      <c r="N1" s="11"/>
      <c r="O1" s="11"/>
      <c r="P1" s="11"/>
      <c r="Q1" s="11"/>
      <c r="R1" s="11"/>
      <c r="S1" s="11"/>
      <c r="T1" s="11"/>
      <c r="U1" s="11"/>
      <c r="V1" s="11"/>
      <c r="W1" s="11"/>
      <c r="X1" s="11"/>
      <c r="Y1" s="11"/>
      <c r="Z1" s="11"/>
    </row>
    <row r="2" customFormat="false" ht="15" hidden="false" customHeight="false" outlineLevel="0" collapsed="false">
      <c r="A2" s="1" t="n">
        <v>1</v>
      </c>
      <c r="B2" s="1" t="s">
        <v>819</v>
      </c>
      <c r="C2" s="1" t="s">
        <v>810</v>
      </c>
      <c r="D2" s="1" t="s">
        <v>822</v>
      </c>
      <c r="E2" s="1" t="s">
        <v>819</v>
      </c>
      <c r="F2" s="1" t="s">
        <v>52</v>
      </c>
      <c r="G2" s="1" t="s">
        <v>38</v>
      </c>
    </row>
    <row r="3" customFormat="false" ht="15" hidden="false" customHeight="false" outlineLevel="0" collapsed="false">
      <c r="A3" s="1" t="n">
        <v>1</v>
      </c>
      <c r="B3" s="1" t="s">
        <v>819</v>
      </c>
      <c r="C3" s="1" t="s">
        <v>1463</v>
      </c>
      <c r="D3" s="1" t="s">
        <v>20</v>
      </c>
      <c r="E3" s="1" t="s">
        <v>819</v>
      </c>
      <c r="F3" s="1" t="s">
        <v>52</v>
      </c>
      <c r="G3" s="1" t="s">
        <v>38</v>
      </c>
    </row>
    <row r="4" customFormat="false" ht="15" hidden="false" customHeight="false" outlineLevel="0" collapsed="false">
      <c r="A4" s="1" t="n">
        <v>1</v>
      </c>
      <c r="B4" s="1" t="s">
        <v>819</v>
      </c>
      <c r="C4" s="1" t="s">
        <v>1483</v>
      </c>
      <c r="D4" s="1" t="s">
        <v>1105</v>
      </c>
      <c r="E4" s="1" t="s">
        <v>819</v>
      </c>
      <c r="F4" s="1" t="s">
        <v>52</v>
      </c>
      <c r="G4" s="1" t="s">
        <v>38</v>
      </c>
    </row>
    <row r="5" customFormat="false" ht="15" hidden="false" customHeight="false" outlineLevel="0" collapsed="false">
      <c r="A5" s="1" t="n">
        <v>1</v>
      </c>
      <c r="B5" s="1" t="s">
        <v>819</v>
      </c>
      <c r="C5" s="1" t="s">
        <v>196</v>
      </c>
      <c r="D5" s="1" t="s">
        <v>1107</v>
      </c>
      <c r="E5" s="1" t="s">
        <v>819</v>
      </c>
      <c r="F5" s="1" t="s">
        <v>52</v>
      </c>
      <c r="G5" s="1" t="s">
        <v>38</v>
      </c>
    </row>
    <row r="6" customFormat="false" ht="15" hidden="false" customHeight="false" outlineLevel="0" collapsed="false">
      <c r="A6" s="1" t="n">
        <v>1</v>
      </c>
      <c r="B6" s="1" t="s">
        <v>819</v>
      </c>
      <c r="C6" s="1" t="s">
        <v>197</v>
      </c>
      <c r="D6" s="1" t="s">
        <v>1108</v>
      </c>
      <c r="E6" s="1" t="s">
        <v>819</v>
      </c>
      <c r="F6" s="1" t="s">
        <v>52</v>
      </c>
      <c r="G6" s="1" t="s">
        <v>38</v>
      </c>
    </row>
    <row r="7" customFormat="false" ht="15" hidden="false" customHeight="false" outlineLevel="0" collapsed="false">
      <c r="A7" s="1" t="n">
        <v>2</v>
      </c>
      <c r="B7" s="1" t="s">
        <v>824</v>
      </c>
      <c r="C7" s="1" t="s">
        <v>810</v>
      </c>
      <c r="D7" s="1" t="s">
        <v>822</v>
      </c>
      <c r="E7" s="1" t="s">
        <v>824</v>
      </c>
      <c r="F7" s="1" t="s">
        <v>61</v>
      </c>
      <c r="G7" s="1" t="s">
        <v>8</v>
      </c>
    </row>
    <row r="8" customFormat="false" ht="15" hidden="false" customHeight="false" outlineLevel="0" collapsed="false">
      <c r="A8" s="1" t="n">
        <v>2</v>
      </c>
      <c r="B8" s="1" t="s">
        <v>824</v>
      </c>
      <c r="C8" s="1" t="s">
        <v>1463</v>
      </c>
      <c r="D8" s="1" t="s">
        <v>20</v>
      </c>
      <c r="E8" s="1" t="s">
        <v>824</v>
      </c>
      <c r="F8" s="1" t="s">
        <v>61</v>
      </c>
      <c r="G8" s="1" t="s">
        <v>8</v>
      </c>
    </row>
    <row r="9" customFormat="false" ht="15" hidden="false" customHeight="false" outlineLevel="0" collapsed="false">
      <c r="A9" s="1" t="n">
        <v>2</v>
      </c>
      <c r="B9" s="1" t="s">
        <v>824</v>
      </c>
      <c r="C9" s="1" t="s">
        <v>1483</v>
      </c>
      <c r="D9" s="1" t="s">
        <v>1113</v>
      </c>
      <c r="E9" s="1" t="s">
        <v>824</v>
      </c>
      <c r="F9" s="1" t="s">
        <v>61</v>
      </c>
      <c r="G9" s="1" t="s">
        <v>8</v>
      </c>
    </row>
    <row r="10" customFormat="false" ht="15" hidden="false" customHeight="false" outlineLevel="0" collapsed="false">
      <c r="A10" s="1" t="n">
        <v>2</v>
      </c>
      <c r="B10" s="1" t="s">
        <v>824</v>
      </c>
      <c r="C10" s="1" t="s">
        <v>196</v>
      </c>
      <c r="D10" s="1" t="s">
        <v>1115</v>
      </c>
      <c r="E10" s="1" t="s">
        <v>824</v>
      </c>
      <c r="F10" s="1" t="s">
        <v>61</v>
      </c>
      <c r="G10" s="1" t="s">
        <v>8</v>
      </c>
    </row>
    <row r="11" customFormat="false" ht="15" hidden="false" customHeight="false" outlineLevel="0" collapsed="false">
      <c r="A11" s="1" t="n">
        <v>2</v>
      </c>
      <c r="B11" s="1" t="s">
        <v>824</v>
      </c>
      <c r="C11" s="1" t="s">
        <v>197</v>
      </c>
      <c r="D11" s="1" t="s">
        <v>1116</v>
      </c>
      <c r="E11" s="1" t="s">
        <v>824</v>
      </c>
      <c r="F11" s="1" t="s">
        <v>61</v>
      </c>
      <c r="G11" s="1" t="s">
        <v>8</v>
      </c>
    </row>
    <row r="12" customFormat="false" ht="15" hidden="false" customHeight="false" outlineLevel="0" collapsed="false">
      <c r="A12" s="1" t="n">
        <v>3</v>
      </c>
      <c r="B12" s="1" t="s">
        <v>828</v>
      </c>
      <c r="C12" s="1" t="s">
        <v>810</v>
      </c>
      <c r="D12" s="1" t="s">
        <v>829</v>
      </c>
      <c r="E12" s="1" t="s">
        <v>828</v>
      </c>
      <c r="F12" s="1" t="s">
        <v>61</v>
      </c>
      <c r="G12" s="1" t="s">
        <v>8</v>
      </c>
    </row>
    <row r="13" customFormat="false" ht="15" hidden="false" customHeight="false" outlineLevel="0" collapsed="false">
      <c r="A13" s="1" t="n">
        <v>3</v>
      </c>
      <c r="B13" s="1" t="s">
        <v>828</v>
      </c>
      <c r="C13" s="1" t="s">
        <v>1463</v>
      </c>
      <c r="D13" s="1" t="s">
        <v>20</v>
      </c>
      <c r="E13" s="1" t="s">
        <v>828</v>
      </c>
      <c r="F13" s="1" t="s">
        <v>61</v>
      </c>
      <c r="G13" s="1" t="s">
        <v>8</v>
      </c>
    </row>
    <row r="14" customFormat="false" ht="15" hidden="false" customHeight="false" outlineLevel="0" collapsed="false">
      <c r="A14" s="1" t="n">
        <v>3</v>
      </c>
      <c r="B14" s="1" t="s">
        <v>828</v>
      </c>
      <c r="C14" s="1" t="s">
        <v>1483</v>
      </c>
      <c r="D14" s="1" t="s">
        <v>1120</v>
      </c>
      <c r="E14" s="1" t="s">
        <v>828</v>
      </c>
      <c r="F14" s="1" t="s">
        <v>61</v>
      </c>
      <c r="G14" s="1" t="s">
        <v>8</v>
      </c>
    </row>
    <row r="15" customFormat="false" ht="15" hidden="false" customHeight="false" outlineLevel="0" collapsed="false">
      <c r="A15" s="1" t="n">
        <v>3</v>
      </c>
      <c r="B15" s="1" t="s">
        <v>828</v>
      </c>
      <c r="C15" s="1" t="s">
        <v>196</v>
      </c>
      <c r="D15" s="1" t="s">
        <v>1122</v>
      </c>
      <c r="E15" s="1" t="s">
        <v>828</v>
      </c>
      <c r="F15" s="1" t="s">
        <v>61</v>
      </c>
      <c r="G15" s="1" t="s">
        <v>8</v>
      </c>
    </row>
    <row r="16" customFormat="false" ht="15" hidden="false" customHeight="false" outlineLevel="0" collapsed="false">
      <c r="A16" s="1" t="n">
        <v>3</v>
      </c>
      <c r="B16" s="1" t="s">
        <v>828</v>
      </c>
      <c r="C16" s="1" t="s">
        <v>197</v>
      </c>
      <c r="D16" s="1" t="s">
        <v>1123</v>
      </c>
      <c r="E16" s="1" t="s">
        <v>828</v>
      </c>
      <c r="F16" s="1" t="s">
        <v>61</v>
      </c>
      <c r="G16" s="1" t="s">
        <v>8</v>
      </c>
    </row>
    <row r="17" customFormat="false" ht="15" hidden="false" customHeight="false" outlineLevel="0" collapsed="false">
      <c r="A17" s="1" t="n">
        <v>4</v>
      </c>
      <c r="B17" s="1" t="s">
        <v>58</v>
      </c>
      <c r="C17" s="1" t="s">
        <v>810</v>
      </c>
      <c r="D17" s="1" t="s">
        <v>831</v>
      </c>
      <c r="E17" s="1" t="s">
        <v>833</v>
      </c>
      <c r="F17" s="1" t="s">
        <v>52</v>
      </c>
      <c r="G17" s="1" t="s">
        <v>38</v>
      </c>
    </row>
    <row r="18" customFormat="false" ht="15" hidden="false" customHeight="false" outlineLevel="0" collapsed="false">
      <c r="A18" s="1" t="n">
        <v>4</v>
      </c>
      <c r="B18" s="1" t="s">
        <v>58</v>
      </c>
      <c r="C18" s="1" t="s">
        <v>1463</v>
      </c>
      <c r="D18" s="1" t="s">
        <v>832</v>
      </c>
      <c r="E18" s="1" t="s">
        <v>833</v>
      </c>
      <c r="F18" s="1" t="s">
        <v>52</v>
      </c>
      <c r="G18" s="1" t="s">
        <v>38</v>
      </c>
    </row>
    <row r="19" customFormat="false" ht="15" hidden="false" customHeight="false" outlineLevel="0" collapsed="false">
      <c r="A19" s="1" t="n">
        <v>4</v>
      </c>
      <c r="B19" s="1" t="s">
        <v>58</v>
      </c>
      <c r="C19" s="1" t="s">
        <v>1483</v>
      </c>
      <c r="D19" s="1" t="s">
        <v>1126</v>
      </c>
      <c r="E19" s="1" t="s">
        <v>833</v>
      </c>
      <c r="F19" s="1" t="s">
        <v>52</v>
      </c>
      <c r="G19" s="1" t="s">
        <v>38</v>
      </c>
    </row>
    <row r="20" customFormat="false" ht="15" hidden="false" customHeight="false" outlineLevel="0" collapsed="false">
      <c r="A20" s="1" t="n">
        <v>4</v>
      </c>
      <c r="B20" s="1" t="s">
        <v>58</v>
      </c>
      <c r="C20" s="1" t="s">
        <v>196</v>
      </c>
      <c r="D20" s="1" t="s">
        <v>1128</v>
      </c>
      <c r="E20" s="1" t="s">
        <v>833</v>
      </c>
      <c r="F20" s="1" t="s">
        <v>52</v>
      </c>
      <c r="G20" s="1" t="s">
        <v>38</v>
      </c>
    </row>
    <row r="21" customFormat="false" ht="15" hidden="false" customHeight="false" outlineLevel="0" collapsed="false">
      <c r="A21" s="1" t="n">
        <v>4</v>
      </c>
      <c r="B21" s="1" t="s">
        <v>58</v>
      </c>
      <c r="C21" s="1" t="s">
        <v>197</v>
      </c>
      <c r="D21" s="1" t="s">
        <v>1129</v>
      </c>
      <c r="E21" s="1" t="s">
        <v>833</v>
      </c>
      <c r="F21" s="1" t="s">
        <v>52</v>
      </c>
      <c r="G21" s="1" t="s">
        <v>38</v>
      </c>
    </row>
    <row r="22" customFormat="false" ht="15" hidden="false" customHeight="false" outlineLevel="0" collapsed="false">
      <c r="A22" s="1" t="n">
        <v>5</v>
      </c>
      <c r="B22" s="1" t="s">
        <v>62</v>
      </c>
      <c r="C22" s="1" t="s">
        <v>810</v>
      </c>
      <c r="D22" s="1" t="s">
        <v>836</v>
      </c>
      <c r="E22" s="1" t="s">
        <v>837</v>
      </c>
      <c r="F22" s="1" t="s">
        <v>61</v>
      </c>
      <c r="G22" s="1" t="s">
        <v>8</v>
      </c>
    </row>
    <row r="23" customFormat="false" ht="15" hidden="false" customHeight="false" outlineLevel="0" collapsed="false">
      <c r="A23" s="1" t="n">
        <v>5</v>
      </c>
      <c r="B23" s="1" t="s">
        <v>62</v>
      </c>
      <c r="C23" s="1" t="s">
        <v>1463</v>
      </c>
      <c r="D23" s="1" t="s">
        <v>21</v>
      </c>
      <c r="E23" s="1" t="s">
        <v>837</v>
      </c>
      <c r="F23" s="1" t="s">
        <v>61</v>
      </c>
      <c r="G23" s="1" t="s">
        <v>8</v>
      </c>
    </row>
    <row r="24" customFormat="false" ht="15" hidden="false" customHeight="false" outlineLevel="0" collapsed="false">
      <c r="A24" s="1" t="n">
        <v>5</v>
      </c>
      <c r="B24" s="1" t="s">
        <v>62</v>
      </c>
      <c r="C24" s="1" t="s">
        <v>1483</v>
      </c>
      <c r="D24" s="1" t="s">
        <v>1133</v>
      </c>
      <c r="E24" s="1" t="s">
        <v>837</v>
      </c>
      <c r="F24" s="1" t="s">
        <v>61</v>
      </c>
      <c r="G24" s="1" t="s">
        <v>8</v>
      </c>
    </row>
    <row r="25" customFormat="false" ht="15" hidden="false" customHeight="false" outlineLevel="0" collapsed="false">
      <c r="A25" s="1" t="n">
        <v>5</v>
      </c>
      <c r="B25" s="1" t="s">
        <v>62</v>
      </c>
      <c r="C25" s="1" t="s">
        <v>196</v>
      </c>
      <c r="D25" s="1" t="s">
        <v>1135</v>
      </c>
      <c r="E25" s="1" t="s">
        <v>837</v>
      </c>
      <c r="F25" s="1" t="s">
        <v>61</v>
      </c>
      <c r="G25" s="1" t="s">
        <v>8</v>
      </c>
    </row>
    <row r="26" customFormat="false" ht="15" hidden="false" customHeight="false" outlineLevel="0" collapsed="false">
      <c r="A26" s="1" t="n">
        <v>5</v>
      </c>
      <c r="B26" s="1" t="s">
        <v>62</v>
      </c>
      <c r="C26" s="1" t="s">
        <v>197</v>
      </c>
      <c r="D26" s="1" t="s">
        <v>1136</v>
      </c>
      <c r="E26" s="1" t="s">
        <v>837</v>
      </c>
      <c r="F26" s="1" t="s">
        <v>61</v>
      </c>
      <c r="G26" s="1" t="s">
        <v>8</v>
      </c>
    </row>
    <row r="27" customFormat="false" ht="15" hidden="false" customHeight="false" outlineLevel="0" collapsed="false">
      <c r="A27" s="1" t="n">
        <v>6</v>
      </c>
      <c r="B27" s="1" t="s">
        <v>839</v>
      </c>
      <c r="C27" s="1" t="s">
        <v>810</v>
      </c>
      <c r="D27" s="1" t="s">
        <v>17</v>
      </c>
      <c r="E27" s="1" t="s">
        <v>839</v>
      </c>
      <c r="F27" s="1" t="s">
        <v>61</v>
      </c>
      <c r="G27" s="1" t="s">
        <v>8</v>
      </c>
    </row>
    <row r="28" customFormat="false" ht="15" hidden="false" customHeight="false" outlineLevel="0" collapsed="false">
      <c r="A28" s="1" t="n">
        <v>6</v>
      </c>
      <c r="B28" s="1" t="s">
        <v>839</v>
      </c>
      <c r="C28" s="1" t="s">
        <v>1463</v>
      </c>
      <c r="D28" s="1" t="s">
        <v>67</v>
      </c>
      <c r="E28" s="1" t="s">
        <v>839</v>
      </c>
      <c r="F28" s="1" t="s">
        <v>61</v>
      </c>
      <c r="G28" s="1" t="s">
        <v>8</v>
      </c>
    </row>
    <row r="29" customFormat="false" ht="15" hidden="false" customHeight="false" outlineLevel="0" collapsed="false">
      <c r="A29" s="1" t="n">
        <v>6</v>
      </c>
      <c r="B29" s="1" t="s">
        <v>839</v>
      </c>
      <c r="C29" s="1" t="s">
        <v>1483</v>
      </c>
      <c r="D29" s="1" t="s">
        <v>1139</v>
      </c>
      <c r="E29" s="1" t="s">
        <v>839</v>
      </c>
      <c r="F29" s="1" t="s">
        <v>61</v>
      </c>
      <c r="G29" s="1" t="s">
        <v>8</v>
      </c>
    </row>
    <row r="30" customFormat="false" ht="15" hidden="false" customHeight="false" outlineLevel="0" collapsed="false">
      <c r="A30" s="1" t="n">
        <v>6</v>
      </c>
      <c r="B30" s="1" t="s">
        <v>839</v>
      </c>
      <c r="C30" s="1" t="s">
        <v>196</v>
      </c>
      <c r="D30" s="1" t="s">
        <v>1141</v>
      </c>
      <c r="E30" s="1" t="s">
        <v>839</v>
      </c>
      <c r="F30" s="1" t="s">
        <v>61</v>
      </c>
      <c r="G30" s="1" t="s">
        <v>8</v>
      </c>
    </row>
    <row r="31" customFormat="false" ht="15" hidden="false" customHeight="false" outlineLevel="0" collapsed="false">
      <c r="A31" s="1" t="n">
        <v>6</v>
      </c>
      <c r="B31" s="1" t="s">
        <v>839</v>
      </c>
      <c r="C31" s="1" t="s">
        <v>197</v>
      </c>
      <c r="D31" s="1" t="s">
        <v>1142</v>
      </c>
      <c r="E31" s="1" t="s">
        <v>839</v>
      </c>
      <c r="F31" s="1" t="s">
        <v>61</v>
      </c>
      <c r="G31" s="1" t="s">
        <v>8</v>
      </c>
    </row>
    <row r="32" customFormat="false" ht="15" hidden="false" customHeight="false" outlineLevel="0" collapsed="false">
      <c r="A32" s="1" t="n">
        <v>7</v>
      </c>
      <c r="B32" s="1" t="s">
        <v>842</v>
      </c>
      <c r="C32" s="1" t="s">
        <v>810</v>
      </c>
      <c r="D32" s="1" t="s">
        <v>844</v>
      </c>
      <c r="E32" s="1" t="s">
        <v>842</v>
      </c>
      <c r="F32" s="1" t="s">
        <v>52</v>
      </c>
      <c r="G32" s="1" t="s">
        <v>38</v>
      </c>
    </row>
    <row r="33" customFormat="false" ht="15" hidden="false" customHeight="false" outlineLevel="0" collapsed="false">
      <c r="A33" s="1" t="n">
        <v>7</v>
      </c>
      <c r="B33" s="1" t="s">
        <v>842</v>
      </c>
      <c r="C33" s="1" t="s">
        <v>1463</v>
      </c>
      <c r="D33" s="1" t="s">
        <v>22</v>
      </c>
      <c r="E33" s="1" t="s">
        <v>842</v>
      </c>
      <c r="F33" s="1" t="s">
        <v>52</v>
      </c>
      <c r="G33" s="1" t="s">
        <v>38</v>
      </c>
    </row>
    <row r="34" customFormat="false" ht="15" hidden="false" customHeight="false" outlineLevel="0" collapsed="false">
      <c r="A34" s="1" t="n">
        <v>7</v>
      </c>
      <c r="B34" s="1" t="s">
        <v>842</v>
      </c>
      <c r="C34" s="1" t="s">
        <v>1483</v>
      </c>
      <c r="D34" s="1" t="s">
        <v>1145</v>
      </c>
      <c r="E34" s="1" t="s">
        <v>842</v>
      </c>
      <c r="F34" s="1" t="s">
        <v>52</v>
      </c>
      <c r="G34" s="1" t="s">
        <v>38</v>
      </c>
    </row>
    <row r="35" customFormat="false" ht="15" hidden="false" customHeight="false" outlineLevel="0" collapsed="false">
      <c r="A35" s="1" t="n">
        <v>7</v>
      </c>
      <c r="B35" s="1" t="s">
        <v>842</v>
      </c>
      <c r="C35" s="1" t="s">
        <v>196</v>
      </c>
      <c r="D35" s="1" t="s">
        <v>1147</v>
      </c>
      <c r="E35" s="1" t="s">
        <v>842</v>
      </c>
      <c r="F35" s="1" t="s">
        <v>52</v>
      </c>
      <c r="G35" s="1" t="s">
        <v>38</v>
      </c>
    </row>
    <row r="36" customFormat="false" ht="15" hidden="false" customHeight="false" outlineLevel="0" collapsed="false">
      <c r="A36" s="1" t="n">
        <v>7</v>
      </c>
      <c r="B36" s="1" t="s">
        <v>842</v>
      </c>
      <c r="C36" s="1" t="s">
        <v>197</v>
      </c>
      <c r="D36" s="1" t="s">
        <v>1148</v>
      </c>
      <c r="E36" s="1" t="s">
        <v>842</v>
      </c>
      <c r="F36" s="1" t="s">
        <v>52</v>
      </c>
      <c r="G36" s="1" t="s">
        <v>38</v>
      </c>
    </row>
    <row r="37" customFormat="false" ht="15" hidden="false" customHeight="false" outlineLevel="0" collapsed="false">
      <c r="A37" s="1" t="n">
        <v>8</v>
      </c>
      <c r="B37" s="1" t="s">
        <v>847</v>
      </c>
      <c r="C37" s="1" t="s">
        <v>810</v>
      </c>
      <c r="D37" s="1" t="s">
        <v>849</v>
      </c>
      <c r="E37" s="1" t="s">
        <v>847</v>
      </c>
      <c r="F37" s="1" t="s">
        <v>52</v>
      </c>
      <c r="G37" s="1" t="s">
        <v>38</v>
      </c>
    </row>
    <row r="38" customFormat="false" ht="15" hidden="false" customHeight="false" outlineLevel="0" collapsed="false">
      <c r="A38" s="1" t="n">
        <v>8</v>
      </c>
      <c r="B38" s="1" t="s">
        <v>847</v>
      </c>
      <c r="C38" s="1" t="s">
        <v>1463</v>
      </c>
      <c r="D38" s="1" t="s">
        <v>850</v>
      </c>
      <c r="E38" s="1" t="s">
        <v>847</v>
      </c>
      <c r="F38" s="1" t="s">
        <v>52</v>
      </c>
      <c r="G38" s="1" t="s">
        <v>38</v>
      </c>
    </row>
    <row r="39" customFormat="false" ht="15" hidden="false" customHeight="false" outlineLevel="0" collapsed="false">
      <c r="A39" s="1" t="n">
        <v>8</v>
      </c>
      <c r="B39" s="1" t="s">
        <v>847</v>
      </c>
      <c r="C39" s="1" t="s">
        <v>1483</v>
      </c>
      <c r="D39" s="1" t="s">
        <v>1151</v>
      </c>
      <c r="E39" s="1" t="s">
        <v>847</v>
      </c>
      <c r="F39" s="1" t="s">
        <v>52</v>
      </c>
      <c r="G39" s="1" t="s">
        <v>38</v>
      </c>
    </row>
    <row r="40" customFormat="false" ht="15" hidden="false" customHeight="false" outlineLevel="0" collapsed="false">
      <c r="A40" s="1" t="n">
        <v>8</v>
      </c>
      <c r="B40" s="1" t="s">
        <v>847</v>
      </c>
      <c r="C40" s="1" t="s">
        <v>196</v>
      </c>
      <c r="D40" s="1" t="s">
        <v>1153</v>
      </c>
      <c r="E40" s="1" t="s">
        <v>847</v>
      </c>
      <c r="F40" s="1" t="s">
        <v>52</v>
      </c>
      <c r="G40" s="1" t="s">
        <v>38</v>
      </c>
    </row>
    <row r="41" customFormat="false" ht="15" hidden="false" customHeight="false" outlineLevel="0" collapsed="false">
      <c r="A41" s="1" t="n">
        <v>8</v>
      </c>
      <c r="B41" s="1" t="s">
        <v>847</v>
      </c>
      <c r="C41" s="1" t="s">
        <v>197</v>
      </c>
      <c r="D41" s="1" t="s">
        <v>1154</v>
      </c>
      <c r="E41" s="1" t="s">
        <v>847</v>
      </c>
      <c r="F41" s="1" t="s">
        <v>52</v>
      </c>
      <c r="G41" s="1" t="s">
        <v>38</v>
      </c>
    </row>
    <row r="42" customFormat="false" ht="15" hidden="false" customHeight="false" outlineLevel="0" collapsed="false">
      <c r="A42" s="1" t="n">
        <v>9</v>
      </c>
      <c r="B42" s="1" t="s">
        <v>852</v>
      </c>
      <c r="C42" s="1" t="s">
        <v>810</v>
      </c>
      <c r="D42" s="1" t="s">
        <v>11</v>
      </c>
      <c r="E42" s="1" t="s">
        <v>852</v>
      </c>
      <c r="F42" s="1" t="s">
        <v>61</v>
      </c>
      <c r="G42" s="1" t="s">
        <v>8</v>
      </c>
    </row>
    <row r="43" customFormat="false" ht="15" hidden="false" customHeight="false" outlineLevel="0" collapsed="false">
      <c r="A43" s="1" t="n">
        <v>9</v>
      </c>
      <c r="B43" s="1" t="s">
        <v>852</v>
      </c>
      <c r="C43" s="1" t="s">
        <v>1463</v>
      </c>
      <c r="D43" s="1" t="s">
        <v>20</v>
      </c>
      <c r="E43" s="1" t="s">
        <v>852</v>
      </c>
      <c r="F43" s="1" t="s">
        <v>61</v>
      </c>
      <c r="G43" s="1" t="s">
        <v>8</v>
      </c>
    </row>
    <row r="44" customFormat="false" ht="15" hidden="false" customHeight="false" outlineLevel="0" collapsed="false">
      <c r="A44" s="1" t="n">
        <v>9</v>
      </c>
      <c r="B44" s="1" t="s">
        <v>852</v>
      </c>
      <c r="C44" s="1" t="s">
        <v>1483</v>
      </c>
      <c r="D44" s="1" t="s">
        <v>1157</v>
      </c>
      <c r="E44" s="1" t="s">
        <v>852</v>
      </c>
      <c r="F44" s="1" t="s">
        <v>61</v>
      </c>
      <c r="G44" s="1" t="s">
        <v>8</v>
      </c>
    </row>
    <row r="45" customFormat="false" ht="15" hidden="false" customHeight="false" outlineLevel="0" collapsed="false">
      <c r="A45" s="1" t="n">
        <v>9</v>
      </c>
      <c r="B45" s="1" t="s">
        <v>852</v>
      </c>
      <c r="C45" s="1" t="s">
        <v>196</v>
      </c>
      <c r="D45" s="1" t="s">
        <v>1159</v>
      </c>
      <c r="E45" s="1" t="s">
        <v>852</v>
      </c>
      <c r="F45" s="1" t="s">
        <v>61</v>
      </c>
      <c r="G45" s="1" t="s">
        <v>8</v>
      </c>
    </row>
    <row r="46" customFormat="false" ht="15" hidden="false" customHeight="false" outlineLevel="0" collapsed="false">
      <c r="A46" s="1" t="n">
        <v>9</v>
      </c>
      <c r="B46" s="1" t="s">
        <v>852</v>
      </c>
      <c r="C46" s="1" t="s">
        <v>197</v>
      </c>
      <c r="D46" s="1" t="s">
        <v>1160</v>
      </c>
      <c r="E46" s="1" t="s">
        <v>852</v>
      </c>
      <c r="F46" s="1" t="s">
        <v>61</v>
      </c>
      <c r="G46" s="1" t="s">
        <v>8</v>
      </c>
    </row>
    <row r="47" customFormat="false" ht="15" hidden="false" customHeight="false" outlineLevel="0" collapsed="false">
      <c r="A47" s="1" t="n">
        <v>10</v>
      </c>
      <c r="B47" s="1" t="s">
        <v>852</v>
      </c>
      <c r="C47" s="1" t="s">
        <v>810</v>
      </c>
      <c r="D47" s="1" t="s">
        <v>11</v>
      </c>
      <c r="E47" s="1" t="s">
        <v>852</v>
      </c>
      <c r="F47" s="1" t="s">
        <v>61</v>
      </c>
      <c r="G47" s="1" t="s">
        <v>8</v>
      </c>
    </row>
    <row r="48" customFormat="false" ht="15" hidden="false" customHeight="false" outlineLevel="0" collapsed="false">
      <c r="A48" s="1" t="n">
        <v>10</v>
      </c>
      <c r="B48" s="1" t="s">
        <v>852</v>
      </c>
      <c r="C48" s="1" t="s">
        <v>1463</v>
      </c>
      <c r="D48" s="1" t="s">
        <v>20</v>
      </c>
      <c r="E48" s="1" t="s">
        <v>852</v>
      </c>
      <c r="F48" s="1" t="s">
        <v>61</v>
      </c>
      <c r="G48" s="1" t="s">
        <v>8</v>
      </c>
    </row>
    <row r="49" customFormat="false" ht="15" hidden="false" customHeight="false" outlineLevel="0" collapsed="false">
      <c r="A49" s="1" t="n">
        <v>10</v>
      </c>
      <c r="B49" s="1" t="s">
        <v>852</v>
      </c>
      <c r="C49" s="1" t="s">
        <v>1483</v>
      </c>
      <c r="D49" s="1" t="s">
        <v>299</v>
      </c>
      <c r="E49" s="1" t="s">
        <v>852</v>
      </c>
      <c r="F49" s="1" t="s">
        <v>61</v>
      </c>
      <c r="G49" s="1" t="s">
        <v>8</v>
      </c>
    </row>
    <row r="50" customFormat="false" ht="15" hidden="false" customHeight="false" outlineLevel="0" collapsed="false">
      <c r="A50" s="1" t="n">
        <v>10</v>
      </c>
      <c r="B50" s="1" t="s">
        <v>852</v>
      </c>
      <c r="C50" s="1" t="s">
        <v>196</v>
      </c>
      <c r="D50" s="1" t="s">
        <v>301</v>
      </c>
      <c r="E50" s="1" t="s">
        <v>852</v>
      </c>
      <c r="F50" s="1" t="s">
        <v>61</v>
      </c>
      <c r="G50" s="1" t="s">
        <v>8</v>
      </c>
    </row>
    <row r="51" customFormat="false" ht="15" hidden="false" customHeight="false" outlineLevel="0" collapsed="false">
      <c r="A51" s="1" t="n">
        <v>10</v>
      </c>
      <c r="B51" s="1" t="s">
        <v>852</v>
      </c>
      <c r="C51" s="1" t="s">
        <v>197</v>
      </c>
      <c r="D51" s="1" t="s">
        <v>302</v>
      </c>
      <c r="E51" s="1" t="s">
        <v>852</v>
      </c>
      <c r="F51" s="1" t="s">
        <v>61</v>
      </c>
      <c r="G51" s="1" t="s">
        <v>8</v>
      </c>
    </row>
    <row r="52" customFormat="false" ht="15" hidden="false" customHeight="false" outlineLevel="0" collapsed="false">
      <c r="A52" s="1" t="n">
        <v>11</v>
      </c>
      <c r="B52" s="1" t="s">
        <v>854</v>
      </c>
      <c r="C52" s="1" t="s">
        <v>810</v>
      </c>
      <c r="D52" s="1" t="s">
        <v>855</v>
      </c>
      <c r="E52" s="1" t="s">
        <v>854</v>
      </c>
      <c r="F52" s="1" t="s">
        <v>52</v>
      </c>
      <c r="G52" s="1" t="s">
        <v>38</v>
      </c>
    </row>
    <row r="53" customFormat="false" ht="15" hidden="false" customHeight="false" outlineLevel="0" collapsed="false">
      <c r="A53" s="1" t="n">
        <v>11</v>
      </c>
      <c r="B53" s="1" t="s">
        <v>854</v>
      </c>
      <c r="C53" s="1" t="s">
        <v>1463</v>
      </c>
      <c r="D53" s="1" t="s">
        <v>22</v>
      </c>
      <c r="E53" s="1" t="s">
        <v>854</v>
      </c>
      <c r="F53" s="1" t="s">
        <v>52</v>
      </c>
      <c r="G53" s="1" t="s">
        <v>38</v>
      </c>
    </row>
    <row r="54" customFormat="false" ht="15" hidden="false" customHeight="false" outlineLevel="0" collapsed="false">
      <c r="A54" s="1" t="n">
        <v>11</v>
      </c>
      <c r="B54" s="1" t="s">
        <v>854</v>
      </c>
      <c r="C54" s="1" t="s">
        <v>1483</v>
      </c>
      <c r="D54" s="1" t="s">
        <v>1164</v>
      </c>
      <c r="E54" s="1" t="s">
        <v>854</v>
      </c>
      <c r="F54" s="1" t="s">
        <v>52</v>
      </c>
      <c r="G54" s="1" t="s">
        <v>38</v>
      </c>
    </row>
    <row r="55" customFormat="false" ht="15" hidden="false" customHeight="false" outlineLevel="0" collapsed="false">
      <c r="A55" s="1" t="n">
        <v>11</v>
      </c>
      <c r="B55" s="1" t="s">
        <v>854</v>
      </c>
      <c r="C55" s="1" t="s">
        <v>196</v>
      </c>
      <c r="D55" s="1" t="s">
        <v>1166</v>
      </c>
      <c r="E55" s="1" t="s">
        <v>854</v>
      </c>
      <c r="F55" s="1" t="s">
        <v>52</v>
      </c>
      <c r="G55" s="1" t="s">
        <v>38</v>
      </c>
    </row>
    <row r="56" customFormat="false" ht="15" hidden="false" customHeight="false" outlineLevel="0" collapsed="false">
      <c r="A56" s="1" t="n">
        <v>11</v>
      </c>
      <c r="B56" s="1" t="s">
        <v>854</v>
      </c>
      <c r="C56" s="1" t="s">
        <v>197</v>
      </c>
      <c r="D56" s="1" t="s">
        <v>1167</v>
      </c>
      <c r="E56" s="1" t="s">
        <v>854</v>
      </c>
      <c r="F56" s="1" t="s">
        <v>52</v>
      </c>
      <c r="G56" s="1" t="s">
        <v>38</v>
      </c>
    </row>
    <row r="57" customFormat="false" ht="15" hidden="false" customHeight="false" outlineLevel="0" collapsed="false">
      <c r="A57" s="1" t="n">
        <v>12</v>
      </c>
      <c r="B57" s="1" t="s">
        <v>857</v>
      </c>
      <c r="C57" s="1" t="s">
        <v>810</v>
      </c>
      <c r="D57" s="1" t="s">
        <v>855</v>
      </c>
      <c r="E57" s="1" t="s">
        <v>857</v>
      </c>
      <c r="F57" s="1" t="s">
        <v>61</v>
      </c>
      <c r="G57" s="1" t="s">
        <v>8</v>
      </c>
    </row>
    <row r="58" customFormat="false" ht="15" hidden="false" customHeight="false" outlineLevel="0" collapsed="false">
      <c r="A58" s="1" t="n">
        <v>12</v>
      </c>
      <c r="B58" s="1" t="s">
        <v>857</v>
      </c>
      <c r="C58" s="1" t="s">
        <v>1463</v>
      </c>
      <c r="D58" s="1" t="s">
        <v>22</v>
      </c>
      <c r="E58" s="1" t="s">
        <v>857</v>
      </c>
      <c r="F58" s="1" t="s">
        <v>61</v>
      </c>
      <c r="G58" s="1" t="s">
        <v>8</v>
      </c>
    </row>
    <row r="59" customFormat="false" ht="15" hidden="false" customHeight="false" outlineLevel="0" collapsed="false">
      <c r="A59" s="1" t="n">
        <v>12</v>
      </c>
      <c r="B59" s="1" t="s">
        <v>857</v>
      </c>
      <c r="C59" s="1" t="s">
        <v>1483</v>
      </c>
      <c r="D59" s="1" t="s">
        <v>1171</v>
      </c>
      <c r="E59" s="1" t="s">
        <v>857</v>
      </c>
      <c r="F59" s="1" t="s">
        <v>61</v>
      </c>
      <c r="G59" s="1" t="s">
        <v>8</v>
      </c>
    </row>
    <row r="60" customFormat="false" ht="15" hidden="false" customHeight="false" outlineLevel="0" collapsed="false">
      <c r="A60" s="1" t="n">
        <v>12</v>
      </c>
      <c r="B60" s="1" t="s">
        <v>857</v>
      </c>
      <c r="C60" s="1" t="s">
        <v>196</v>
      </c>
      <c r="D60" s="1" t="s">
        <v>1173</v>
      </c>
      <c r="E60" s="1" t="s">
        <v>857</v>
      </c>
      <c r="F60" s="1" t="s">
        <v>61</v>
      </c>
      <c r="G60" s="1" t="s">
        <v>8</v>
      </c>
    </row>
    <row r="61" customFormat="false" ht="15" hidden="false" customHeight="false" outlineLevel="0" collapsed="false">
      <c r="A61" s="1" t="n">
        <v>12</v>
      </c>
      <c r="B61" s="1" t="s">
        <v>857</v>
      </c>
      <c r="C61" s="1" t="s">
        <v>197</v>
      </c>
      <c r="D61" s="1" t="s">
        <v>1174</v>
      </c>
      <c r="E61" s="1" t="s">
        <v>857</v>
      </c>
      <c r="F61" s="1" t="s">
        <v>61</v>
      </c>
      <c r="G61" s="1" t="s">
        <v>8</v>
      </c>
    </row>
    <row r="62" customFormat="false" ht="15" hidden="false" customHeight="false" outlineLevel="0" collapsed="false">
      <c r="A62" s="1" t="n">
        <v>13</v>
      </c>
      <c r="B62" s="1" t="s">
        <v>860</v>
      </c>
      <c r="C62" s="1" t="s">
        <v>810</v>
      </c>
      <c r="D62" s="1" t="s">
        <v>861</v>
      </c>
      <c r="E62" s="1" t="s">
        <v>860</v>
      </c>
      <c r="F62" s="1" t="s">
        <v>52</v>
      </c>
      <c r="G62" s="1" t="s">
        <v>38</v>
      </c>
    </row>
    <row r="63" customFormat="false" ht="15" hidden="false" customHeight="false" outlineLevel="0" collapsed="false">
      <c r="A63" s="1" t="n">
        <v>13</v>
      </c>
      <c r="B63" s="1" t="s">
        <v>860</v>
      </c>
      <c r="C63" s="1" t="s">
        <v>1463</v>
      </c>
      <c r="D63" s="1" t="s">
        <v>862</v>
      </c>
      <c r="E63" s="1" t="s">
        <v>860</v>
      </c>
      <c r="F63" s="1" t="s">
        <v>52</v>
      </c>
      <c r="G63" s="1" t="s">
        <v>38</v>
      </c>
    </row>
    <row r="64" customFormat="false" ht="15" hidden="false" customHeight="false" outlineLevel="0" collapsed="false">
      <c r="A64" s="1" t="n">
        <v>13</v>
      </c>
      <c r="B64" s="1" t="s">
        <v>860</v>
      </c>
      <c r="C64" s="1" t="s">
        <v>1483</v>
      </c>
      <c r="D64" s="1" t="s">
        <v>1178</v>
      </c>
      <c r="E64" s="1" t="s">
        <v>860</v>
      </c>
      <c r="F64" s="1" t="s">
        <v>52</v>
      </c>
      <c r="G64" s="1" t="s">
        <v>38</v>
      </c>
    </row>
    <row r="65" customFormat="false" ht="15" hidden="false" customHeight="false" outlineLevel="0" collapsed="false">
      <c r="A65" s="1" t="n">
        <v>13</v>
      </c>
      <c r="B65" s="1" t="s">
        <v>860</v>
      </c>
      <c r="C65" s="1" t="s">
        <v>196</v>
      </c>
      <c r="D65" s="1" t="s">
        <v>1180</v>
      </c>
      <c r="E65" s="1" t="s">
        <v>860</v>
      </c>
      <c r="F65" s="1" t="s">
        <v>52</v>
      </c>
      <c r="G65" s="1" t="s">
        <v>38</v>
      </c>
    </row>
    <row r="66" customFormat="false" ht="15" hidden="false" customHeight="false" outlineLevel="0" collapsed="false">
      <c r="A66" s="1" t="n">
        <v>13</v>
      </c>
      <c r="B66" s="1" t="s">
        <v>860</v>
      </c>
      <c r="C66" s="1" t="s">
        <v>197</v>
      </c>
      <c r="D66" s="1" t="s">
        <v>1181</v>
      </c>
      <c r="E66" s="1" t="s">
        <v>860</v>
      </c>
      <c r="F66" s="1" t="s">
        <v>52</v>
      </c>
      <c r="G66" s="1" t="s">
        <v>38</v>
      </c>
    </row>
    <row r="67" customFormat="false" ht="15" hidden="false" customHeight="false" outlineLevel="0" collapsed="false">
      <c r="A67" s="1" t="n">
        <v>14</v>
      </c>
      <c r="B67" s="1" t="s">
        <v>864</v>
      </c>
      <c r="C67" s="1" t="s">
        <v>810</v>
      </c>
      <c r="D67" s="1" t="s">
        <v>865</v>
      </c>
      <c r="E67" s="1" t="s">
        <v>864</v>
      </c>
      <c r="F67" s="1" t="s">
        <v>52</v>
      </c>
      <c r="G67" s="1" t="s">
        <v>38</v>
      </c>
    </row>
    <row r="68" customFormat="false" ht="15" hidden="false" customHeight="false" outlineLevel="0" collapsed="false">
      <c r="A68" s="1" t="n">
        <v>14</v>
      </c>
      <c r="B68" s="1" t="s">
        <v>864</v>
      </c>
      <c r="C68" s="1" t="s">
        <v>1463</v>
      </c>
      <c r="D68" s="1" t="s">
        <v>22</v>
      </c>
      <c r="E68" s="1" t="s">
        <v>864</v>
      </c>
      <c r="F68" s="1" t="s">
        <v>52</v>
      </c>
      <c r="G68" s="1" t="s">
        <v>38</v>
      </c>
    </row>
    <row r="69" customFormat="false" ht="15" hidden="false" customHeight="false" outlineLevel="0" collapsed="false">
      <c r="A69" s="1" t="n">
        <v>14</v>
      </c>
      <c r="B69" s="1" t="s">
        <v>864</v>
      </c>
      <c r="C69" s="1" t="s">
        <v>1483</v>
      </c>
      <c r="D69" s="1" t="s">
        <v>1184</v>
      </c>
      <c r="E69" s="1" t="s">
        <v>864</v>
      </c>
      <c r="F69" s="1" t="s">
        <v>52</v>
      </c>
      <c r="G69" s="1" t="s">
        <v>38</v>
      </c>
    </row>
    <row r="70" customFormat="false" ht="15" hidden="false" customHeight="false" outlineLevel="0" collapsed="false">
      <c r="A70" s="1" t="n">
        <v>14</v>
      </c>
      <c r="B70" s="1" t="s">
        <v>864</v>
      </c>
      <c r="C70" s="1" t="s">
        <v>196</v>
      </c>
      <c r="D70" s="1" t="s">
        <v>1186</v>
      </c>
      <c r="E70" s="1" t="s">
        <v>864</v>
      </c>
      <c r="F70" s="1" t="s">
        <v>52</v>
      </c>
      <c r="G70" s="1" t="s">
        <v>38</v>
      </c>
    </row>
    <row r="71" customFormat="false" ht="15" hidden="false" customHeight="false" outlineLevel="0" collapsed="false">
      <c r="A71" s="1" t="n">
        <v>14</v>
      </c>
      <c r="B71" s="1" t="s">
        <v>864</v>
      </c>
      <c r="C71" s="1" t="s">
        <v>197</v>
      </c>
      <c r="D71" s="1" t="s">
        <v>1187</v>
      </c>
      <c r="E71" s="1" t="s">
        <v>864</v>
      </c>
      <c r="F71" s="1" t="s">
        <v>52</v>
      </c>
      <c r="G71" s="1" t="s">
        <v>38</v>
      </c>
    </row>
    <row r="72" customFormat="false" ht="15" hidden="false" customHeight="false" outlineLevel="0" collapsed="false">
      <c r="A72" s="1" t="n">
        <v>15</v>
      </c>
      <c r="B72" s="1" t="s">
        <v>88</v>
      </c>
      <c r="C72" s="1" t="s">
        <v>810</v>
      </c>
      <c r="D72" s="1" t="s">
        <v>867</v>
      </c>
      <c r="E72" s="1" t="s">
        <v>1548</v>
      </c>
      <c r="F72" s="1" t="s">
        <v>61</v>
      </c>
      <c r="G72" s="1" t="s">
        <v>8</v>
      </c>
    </row>
    <row r="73" customFormat="false" ht="15" hidden="false" customHeight="false" outlineLevel="0" collapsed="false">
      <c r="A73" s="1" t="n">
        <v>15</v>
      </c>
      <c r="B73" s="1" t="s">
        <v>88</v>
      </c>
      <c r="C73" s="1" t="s">
        <v>1463</v>
      </c>
      <c r="D73" s="1" t="s">
        <v>20</v>
      </c>
      <c r="E73" s="1" t="s">
        <v>1548</v>
      </c>
      <c r="F73" s="1" t="s">
        <v>61</v>
      </c>
      <c r="G73" s="1" t="s">
        <v>8</v>
      </c>
    </row>
    <row r="74" customFormat="false" ht="15" hidden="false" customHeight="false" outlineLevel="0" collapsed="false">
      <c r="A74" s="1" t="n">
        <v>15</v>
      </c>
      <c r="B74" s="1" t="s">
        <v>88</v>
      </c>
      <c r="C74" s="1" t="s">
        <v>1483</v>
      </c>
      <c r="D74" s="1" t="s">
        <v>1191</v>
      </c>
      <c r="E74" s="1" t="s">
        <v>1548</v>
      </c>
      <c r="F74" s="1" t="s">
        <v>61</v>
      </c>
      <c r="G74" s="1" t="s">
        <v>8</v>
      </c>
    </row>
    <row r="75" customFormat="false" ht="15" hidden="false" customHeight="false" outlineLevel="0" collapsed="false">
      <c r="A75" s="1" t="n">
        <v>15</v>
      </c>
      <c r="B75" s="1" t="s">
        <v>88</v>
      </c>
      <c r="C75" s="1" t="s">
        <v>196</v>
      </c>
      <c r="D75" s="1" t="s">
        <v>1193</v>
      </c>
      <c r="E75" s="1" t="s">
        <v>1548</v>
      </c>
      <c r="F75" s="1" t="s">
        <v>61</v>
      </c>
      <c r="G75" s="1" t="s">
        <v>8</v>
      </c>
    </row>
    <row r="76" customFormat="false" ht="15" hidden="false" customHeight="false" outlineLevel="0" collapsed="false">
      <c r="A76" s="1" t="n">
        <v>15</v>
      </c>
      <c r="B76" s="1" t="s">
        <v>88</v>
      </c>
      <c r="C76" s="1" t="s">
        <v>197</v>
      </c>
      <c r="D76" s="1" t="s">
        <v>1194</v>
      </c>
      <c r="E76" s="1" t="s">
        <v>1548</v>
      </c>
      <c r="F76" s="1" t="s">
        <v>61</v>
      </c>
      <c r="G76" s="1" t="s">
        <v>8</v>
      </c>
    </row>
    <row r="77" customFormat="false" ht="15" hidden="false" customHeight="false" outlineLevel="0" collapsed="false">
      <c r="A77" s="1" t="n">
        <v>16</v>
      </c>
      <c r="B77" s="1" t="s">
        <v>869</v>
      </c>
      <c r="C77" s="1" t="s">
        <v>810</v>
      </c>
      <c r="D77" s="1" t="s">
        <v>14</v>
      </c>
      <c r="E77" s="1" t="s">
        <v>869</v>
      </c>
      <c r="F77" s="1" t="s">
        <v>61</v>
      </c>
      <c r="G77" s="1" t="s">
        <v>8</v>
      </c>
    </row>
    <row r="78" customFormat="false" ht="15" hidden="false" customHeight="false" outlineLevel="0" collapsed="false">
      <c r="A78" s="1" t="n">
        <v>16</v>
      </c>
      <c r="B78" s="1" t="s">
        <v>869</v>
      </c>
      <c r="C78" s="1" t="s">
        <v>1463</v>
      </c>
      <c r="D78" s="1" t="s">
        <v>89</v>
      </c>
      <c r="E78" s="1" t="s">
        <v>869</v>
      </c>
      <c r="F78" s="1" t="s">
        <v>61</v>
      </c>
      <c r="G78" s="1" t="s">
        <v>8</v>
      </c>
    </row>
    <row r="79" customFormat="false" ht="15" hidden="false" customHeight="false" outlineLevel="0" collapsed="false">
      <c r="A79" s="1" t="n">
        <v>16</v>
      </c>
      <c r="B79" s="1" t="s">
        <v>869</v>
      </c>
      <c r="C79" s="1" t="s">
        <v>1483</v>
      </c>
      <c r="D79" s="1" t="s">
        <v>1198</v>
      </c>
      <c r="E79" s="1" t="s">
        <v>869</v>
      </c>
      <c r="F79" s="1" t="s">
        <v>61</v>
      </c>
      <c r="G79" s="1" t="s">
        <v>8</v>
      </c>
    </row>
    <row r="80" customFormat="false" ht="15" hidden="false" customHeight="false" outlineLevel="0" collapsed="false">
      <c r="A80" s="1" t="n">
        <v>16</v>
      </c>
      <c r="B80" s="1" t="s">
        <v>869</v>
      </c>
      <c r="C80" s="1" t="s">
        <v>196</v>
      </c>
      <c r="D80" s="1" t="s">
        <v>1200</v>
      </c>
      <c r="E80" s="1" t="s">
        <v>869</v>
      </c>
      <c r="F80" s="1" t="s">
        <v>61</v>
      </c>
      <c r="G80" s="1" t="s">
        <v>8</v>
      </c>
    </row>
    <row r="81" customFormat="false" ht="15" hidden="false" customHeight="false" outlineLevel="0" collapsed="false">
      <c r="A81" s="1" t="n">
        <v>16</v>
      </c>
      <c r="B81" s="1" t="s">
        <v>869</v>
      </c>
      <c r="C81" s="1" t="s">
        <v>197</v>
      </c>
      <c r="D81" s="1" t="s">
        <v>1201</v>
      </c>
      <c r="E81" s="1" t="s">
        <v>869</v>
      </c>
      <c r="F81" s="1" t="s">
        <v>61</v>
      </c>
      <c r="G81" s="1" t="s">
        <v>8</v>
      </c>
    </row>
    <row r="82" customFormat="false" ht="15" hidden="false" customHeight="false" outlineLevel="0" collapsed="false">
      <c r="A82" s="1" t="n">
        <v>17</v>
      </c>
      <c r="B82" s="1" t="s">
        <v>94</v>
      </c>
      <c r="C82" s="1" t="s">
        <v>810</v>
      </c>
      <c r="D82" s="1" t="s">
        <v>873</v>
      </c>
      <c r="E82" s="1" t="s">
        <v>875</v>
      </c>
      <c r="F82" s="1" t="s">
        <v>52</v>
      </c>
      <c r="G82" s="1" t="s">
        <v>38</v>
      </c>
    </row>
    <row r="83" customFormat="false" ht="15" hidden="false" customHeight="false" outlineLevel="0" collapsed="false">
      <c r="A83" s="1" t="n">
        <v>17</v>
      </c>
      <c r="B83" s="1" t="s">
        <v>94</v>
      </c>
      <c r="C83" s="1" t="s">
        <v>1463</v>
      </c>
      <c r="D83" s="1" t="s">
        <v>67</v>
      </c>
      <c r="E83" s="1" t="s">
        <v>875</v>
      </c>
      <c r="F83" s="1" t="s">
        <v>52</v>
      </c>
      <c r="G83" s="1" t="s">
        <v>38</v>
      </c>
    </row>
    <row r="84" customFormat="false" ht="15" hidden="false" customHeight="false" outlineLevel="0" collapsed="false">
      <c r="A84" s="1" t="n">
        <v>17</v>
      </c>
      <c r="B84" s="1" t="s">
        <v>94</v>
      </c>
      <c r="C84" s="1" t="s">
        <v>1483</v>
      </c>
      <c r="D84" s="1" t="s">
        <v>1205</v>
      </c>
      <c r="E84" s="1" t="s">
        <v>875</v>
      </c>
      <c r="F84" s="1" t="s">
        <v>52</v>
      </c>
      <c r="G84" s="1" t="s">
        <v>38</v>
      </c>
    </row>
    <row r="85" customFormat="false" ht="15" hidden="false" customHeight="false" outlineLevel="0" collapsed="false">
      <c r="A85" s="1" t="n">
        <v>17</v>
      </c>
      <c r="B85" s="1" t="s">
        <v>94</v>
      </c>
      <c r="C85" s="1" t="s">
        <v>196</v>
      </c>
      <c r="D85" s="1" t="s">
        <v>1207</v>
      </c>
      <c r="E85" s="1" t="s">
        <v>875</v>
      </c>
      <c r="F85" s="1" t="s">
        <v>52</v>
      </c>
      <c r="G85" s="1" t="s">
        <v>38</v>
      </c>
    </row>
    <row r="86" customFormat="false" ht="15" hidden="false" customHeight="false" outlineLevel="0" collapsed="false">
      <c r="A86" s="1" t="n">
        <v>17</v>
      </c>
      <c r="B86" s="1" t="s">
        <v>94</v>
      </c>
      <c r="C86" s="1" t="s">
        <v>197</v>
      </c>
      <c r="D86" s="1" t="s">
        <v>1208</v>
      </c>
      <c r="E86" s="1" t="s">
        <v>875</v>
      </c>
      <c r="F86" s="1" t="s">
        <v>52</v>
      </c>
      <c r="G86" s="1" t="s">
        <v>38</v>
      </c>
    </row>
    <row r="87" customFormat="false" ht="15" hidden="false" customHeight="false" outlineLevel="0" collapsed="false">
      <c r="A87" s="1" t="n">
        <v>18</v>
      </c>
      <c r="B87" s="1" t="s">
        <v>877</v>
      </c>
      <c r="C87" s="1" t="s">
        <v>810</v>
      </c>
      <c r="D87" s="1" t="s">
        <v>879</v>
      </c>
      <c r="E87" s="1" t="s">
        <v>877</v>
      </c>
      <c r="F87" s="1" t="s">
        <v>52</v>
      </c>
      <c r="G87" s="1" t="s">
        <v>38</v>
      </c>
    </row>
    <row r="88" customFormat="false" ht="15" hidden="false" customHeight="false" outlineLevel="0" collapsed="false">
      <c r="A88" s="1" t="n">
        <v>18</v>
      </c>
      <c r="B88" s="1" t="s">
        <v>877</v>
      </c>
      <c r="C88" s="1" t="s">
        <v>1463</v>
      </c>
      <c r="D88" s="1" t="s">
        <v>880</v>
      </c>
      <c r="E88" s="1" t="s">
        <v>877</v>
      </c>
      <c r="F88" s="1" t="s">
        <v>52</v>
      </c>
      <c r="G88" s="1" t="s">
        <v>38</v>
      </c>
    </row>
    <row r="89" customFormat="false" ht="15" hidden="false" customHeight="false" outlineLevel="0" collapsed="false">
      <c r="A89" s="1" t="n">
        <v>18</v>
      </c>
      <c r="B89" s="1" t="s">
        <v>877</v>
      </c>
      <c r="C89" s="1" t="s">
        <v>1483</v>
      </c>
      <c r="D89" s="1" t="s">
        <v>1211</v>
      </c>
      <c r="E89" s="1" t="s">
        <v>877</v>
      </c>
      <c r="F89" s="1" t="s">
        <v>52</v>
      </c>
      <c r="G89" s="1" t="s">
        <v>38</v>
      </c>
    </row>
    <row r="90" customFormat="false" ht="15" hidden="false" customHeight="false" outlineLevel="0" collapsed="false">
      <c r="A90" s="1" t="n">
        <v>18</v>
      </c>
      <c r="B90" s="1" t="s">
        <v>877</v>
      </c>
      <c r="C90" s="1" t="s">
        <v>196</v>
      </c>
      <c r="D90" s="1" t="s">
        <v>1213</v>
      </c>
      <c r="E90" s="1" t="s">
        <v>877</v>
      </c>
      <c r="F90" s="1" t="s">
        <v>52</v>
      </c>
      <c r="G90" s="1" t="s">
        <v>38</v>
      </c>
    </row>
    <row r="91" customFormat="false" ht="15" hidden="false" customHeight="false" outlineLevel="0" collapsed="false">
      <c r="A91" s="1" t="n">
        <v>18</v>
      </c>
      <c r="B91" s="1" t="s">
        <v>877</v>
      </c>
      <c r="C91" s="1" t="s">
        <v>197</v>
      </c>
      <c r="D91" s="1" t="s">
        <v>1214</v>
      </c>
      <c r="E91" s="1" t="s">
        <v>877</v>
      </c>
      <c r="F91" s="1" t="s">
        <v>52</v>
      </c>
      <c r="G91" s="1" t="s">
        <v>38</v>
      </c>
    </row>
    <row r="92" customFormat="false" ht="15" hidden="false" customHeight="false" outlineLevel="0" collapsed="false">
      <c r="A92" s="1" t="n">
        <v>19</v>
      </c>
      <c r="B92" s="1" t="s">
        <v>882</v>
      </c>
      <c r="C92" s="1" t="s">
        <v>810</v>
      </c>
      <c r="D92" s="1" t="s">
        <v>883</v>
      </c>
      <c r="E92" s="1" t="s">
        <v>882</v>
      </c>
      <c r="F92" s="1" t="s">
        <v>52</v>
      </c>
      <c r="G92" s="1" t="s">
        <v>38</v>
      </c>
    </row>
    <row r="93" customFormat="false" ht="15" hidden="false" customHeight="false" outlineLevel="0" collapsed="false">
      <c r="A93" s="1" t="n">
        <v>19</v>
      </c>
      <c r="B93" s="1" t="s">
        <v>882</v>
      </c>
      <c r="C93" s="1" t="s">
        <v>1463</v>
      </c>
      <c r="D93" s="1" t="s">
        <v>20</v>
      </c>
      <c r="E93" s="1" t="s">
        <v>882</v>
      </c>
      <c r="F93" s="1" t="s">
        <v>52</v>
      </c>
      <c r="G93" s="1" t="s">
        <v>38</v>
      </c>
    </row>
    <row r="94" customFormat="false" ht="15" hidden="false" customHeight="false" outlineLevel="0" collapsed="false">
      <c r="A94" s="1" t="n">
        <v>19</v>
      </c>
      <c r="B94" s="1" t="s">
        <v>882</v>
      </c>
      <c r="C94" s="1" t="s">
        <v>1483</v>
      </c>
      <c r="D94" s="1" t="s">
        <v>1218</v>
      </c>
      <c r="E94" s="1" t="s">
        <v>882</v>
      </c>
      <c r="F94" s="1" t="s">
        <v>52</v>
      </c>
      <c r="G94" s="1" t="s">
        <v>38</v>
      </c>
    </row>
    <row r="95" customFormat="false" ht="15" hidden="false" customHeight="false" outlineLevel="0" collapsed="false">
      <c r="A95" s="1" t="n">
        <v>19</v>
      </c>
      <c r="B95" s="1" t="s">
        <v>882</v>
      </c>
      <c r="C95" s="1" t="s">
        <v>196</v>
      </c>
      <c r="D95" s="1" t="s">
        <v>1220</v>
      </c>
      <c r="E95" s="1" t="s">
        <v>882</v>
      </c>
      <c r="F95" s="1" t="s">
        <v>52</v>
      </c>
      <c r="G95" s="1" t="s">
        <v>38</v>
      </c>
    </row>
    <row r="96" customFormat="false" ht="15" hidden="false" customHeight="false" outlineLevel="0" collapsed="false">
      <c r="A96" s="1" t="n">
        <v>19</v>
      </c>
      <c r="B96" s="1" t="s">
        <v>882</v>
      </c>
      <c r="C96" s="1" t="s">
        <v>197</v>
      </c>
      <c r="D96" s="1" t="s">
        <v>1221</v>
      </c>
      <c r="E96" s="1" t="s">
        <v>882</v>
      </c>
      <c r="F96" s="1" t="s">
        <v>52</v>
      </c>
      <c r="G96" s="1" t="s">
        <v>38</v>
      </c>
    </row>
    <row r="97" customFormat="false" ht="15" hidden="false" customHeight="false" outlineLevel="0" collapsed="false">
      <c r="A97" s="1" t="n">
        <v>20</v>
      </c>
      <c r="B97" s="1" t="s">
        <v>885</v>
      </c>
      <c r="C97" s="1" t="s">
        <v>810</v>
      </c>
      <c r="D97" s="1" t="s">
        <v>886</v>
      </c>
      <c r="E97" s="1" t="s">
        <v>885</v>
      </c>
      <c r="F97" s="1" t="s">
        <v>52</v>
      </c>
      <c r="G97" s="1" t="s">
        <v>38</v>
      </c>
    </row>
    <row r="98" customFormat="false" ht="15" hidden="false" customHeight="false" outlineLevel="0" collapsed="false">
      <c r="A98" s="1" t="n">
        <v>20</v>
      </c>
      <c r="B98" s="1" t="s">
        <v>885</v>
      </c>
      <c r="C98" s="1" t="s">
        <v>1463</v>
      </c>
      <c r="D98" s="1" t="s">
        <v>887</v>
      </c>
      <c r="E98" s="1" t="s">
        <v>885</v>
      </c>
      <c r="F98" s="1" t="s">
        <v>52</v>
      </c>
      <c r="G98" s="1" t="s">
        <v>38</v>
      </c>
    </row>
    <row r="99" customFormat="false" ht="15" hidden="false" customHeight="false" outlineLevel="0" collapsed="false">
      <c r="A99" s="1" t="n">
        <v>20</v>
      </c>
      <c r="B99" s="1" t="s">
        <v>885</v>
      </c>
      <c r="C99" s="1" t="s">
        <v>1483</v>
      </c>
      <c r="D99" s="1" t="s">
        <v>1224</v>
      </c>
      <c r="E99" s="1" t="s">
        <v>885</v>
      </c>
      <c r="F99" s="1" t="s">
        <v>52</v>
      </c>
      <c r="G99" s="1" t="s">
        <v>38</v>
      </c>
    </row>
    <row r="100" customFormat="false" ht="15" hidden="false" customHeight="false" outlineLevel="0" collapsed="false">
      <c r="A100" s="1" t="n">
        <v>20</v>
      </c>
      <c r="B100" s="1" t="s">
        <v>885</v>
      </c>
      <c r="C100" s="1" t="s">
        <v>196</v>
      </c>
      <c r="D100" s="1" t="s">
        <v>1226</v>
      </c>
      <c r="E100" s="1" t="s">
        <v>885</v>
      </c>
      <c r="F100" s="1" t="s">
        <v>52</v>
      </c>
      <c r="G100" s="1" t="s">
        <v>38</v>
      </c>
    </row>
    <row r="101" customFormat="false" ht="15" hidden="false" customHeight="false" outlineLevel="0" collapsed="false">
      <c r="A101" s="1" t="n">
        <v>20</v>
      </c>
      <c r="B101" s="1" t="s">
        <v>885</v>
      </c>
      <c r="C101" s="1" t="s">
        <v>197</v>
      </c>
      <c r="D101" s="1" t="s">
        <v>1227</v>
      </c>
      <c r="E101" s="1" t="s">
        <v>885</v>
      </c>
      <c r="F101" s="1" t="s">
        <v>52</v>
      </c>
      <c r="G101" s="1" t="s">
        <v>38</v>
      </c>
    </row>
    <row r="102" customFormat="false" ht="15" hidden="false" customHeight="false" outlineLevel="0" collapsed="false">
      <c r="A102" s="1" t="n">
        <v>21</v>
      </c>
      <c r="B102" s="1" t="s">
        <v>102</v>
      </c>
      <c r="C102" s="1" t="s">
        <v>810</v>
      </c>
      <c r="D102" s="1" t="s">
        <v>888</v>
      </c>
      <c r="E102" s="1" t="s">
        <v>890</v>
      </c>
      <c r="F102" s="1" t="s">
        <v>52</v>
      </c>
      <c r="G102" s="1" t="s">
        <v>38</v>
      </c>
    </row>
    <row r="103" customFormat="false" ht="15" hidden="false" customHeight="false" outlineLevel="0" collapsed="false">
      <c r="A103" s="1" t="n">
        <v>21</v>
      </c>
      <c r="B103" s="1" t="s">
        <v>102</v>
      </c>
      <c r="C103" s="1" t="s">
        <v>1463</v>
      </c>
      <c r="D103" s="1" t="s">
        <v>889</v>
      </c>
      <c r="E103" s="1" t="s">
        <v>890</v>
      </c>
      <c r="F103" s="1" t="s">
        <v>52</v>
      </c>
      <c r="G103" s="1" t="s">
        <v>38</v>
      </c>
    </row>
    <row r="104" customFormat="false" ht="15" hidden="false" customHeight="false" outlineLevel="0" collapsed="false">
      <c r="A104" s="1" t="n">
        <v>21</v>
      </c>
      <c r="B104" s="1" t="s">
        <v>102</v>
      </c>
      <c r="C104" s="1" t="s">
        <v>1483</v>
      </c>
      <c r="D104" s="1" t="s">
        <v>1230</v>
      </c>
      <c r="E104" s="1" t="s">
        <v>890</v>
      </c>
      <c r="F104" s="1" t="s">
        <v>52</v>
      </c>
      <c r="G104" s="1" t="s">
        <v>38</v>
      </c>
    </row>
    <row r="105" customFormat="false" ht="15" hidden="false" customHeight="false" outlineLevel="0" collapsed="false">
      <c r="A105" s="1" t="n">
        <v>21</v>
      </c>
      <c r="B105" s="1" t="s">
        <v>102</v>
      </c>
      <c r="C105" s="1" t="s">
        <v>196</v>
      </c>
      <c r="D105" s="1" t="s">
        <v>1232</v>
      </c>
      <c r="E105" s="1" t="s">
        <v>890</v>
      </c>
      <c r="F105" s="1" t="s">
        <v>52</v>
      </c>
      <c r="G105" s="1" t="s">
        <v>38</v>
      </c>
    </row>
    <row r="106" customFormat="false" ht="15" hidden="false" customHeight="false" outlineLevel="0" collapsed="false">
      <c r="A106" s="1" t="n">
        <v>21</v>
      </c>
      <c r="B106" s="1" t="s">
        <v>102</v>
      </c>
      <c r="C106" s="1" t="s">
        <v>197</v>
      </c>
      <c r="D106" s="1" t="s">
        <v>1233</v>
      </c>
      <c r="E106" s="1" t="s">
        <v>890</v>
      </c>
      <c r="F106" s="1" t="s">
        <v>52</v>
      </c>
      <c r="G106" s="1" t="s">
        <v>38</v>
      </c>
    </row>
    <row r="107" customFormat="false" ht="15" hidden="false" customHeight="false" outlineLevel="0" collapsed="false">
      <c r="A107" s="1" t="n">
        <v>22</v>
      </c>
      <c r="B107" s="1" t="s">
        <v>892</v>
      </c>
      <c r="C107" s="1" t="s">
        <v>810</v>
      </c>
      <c r="D107" s="1" t="s">
        <v>893</v>
      </c>
      <c r="E107" s="1" t="s">
        <v>892</v>
      </c>
      <c r="F107" s="1" t="s">
        <v>52</v>
      </c>
      <c r="G107" s="1" t="s">
        <v>38</v>
      </c>
    </row>
    <row r="108" customFormat="false" ht="15" hidden="false" customHeight="false" outlineLevel="0" collapsed="false">
      <c r="A108" s="1" t="n">
        <v>22</v>
      </c>
      <c r="B108" s="1" t="s">
        <v>892</v>
      </c>
      <c r="C108" s="1" t="s">
        <v>1463</v>
      </c>
      <c r="D108" s="1" t="s">
        <v>894</v>
      </c>
      <c r="E108" s="1" t="s">
        <v>892</v>
      </c>
      <c r="F108" s="1" t="s">
        <v>52</v>
      </c>
      <c r="G108" s="1" t="s">
        <v>38</v>
      </c>
    </row>
    <row r="109" customFormat="false" ht="15" hidden="false" customHeight="false" outlineLevel="0" collapsed="false">
      <c r="A109" s="1" t="n">
        <v>22</v>
      </c>
      <c r="B109" s="1" t="s">
        <v>892</v>
      </c>
      <c r="C109" s="1" t="s">
        <v>1483</v>
      </c>
      <c r="D109" s="1" t="s">
        <v>1236</v>
      </c>
      <c r="E109" s="1" t="s">
        <v>892</v>
      </c>
      <c r="F109" s="1" t="s">
        <v>52</v>
      </c>
      <c r="G109" s="1" t="s">
        <v>38</v>
      </c>
    </row>
    <row r="110" customFormat="false" ht="15" hidden="false" customHeight="false" outlineLevel="0" collapsed="false">
      <c r="A110" s="1" t="n">
        <v>22</v>
      </c>
      <c r="B110" s="1" t="s">
        <v>892</v>
      </c>
      <c r="C110" s="1" t="s">
        <v>196</v>
      </c>
      <c r="D110" s="1" t="s">
        <v>1238</v>
      </c>
      <c r="E110" s="1" t="s">
        <v>892</v>
      </c>
      <c r="F110" s="1" t="s">
        <v>52</v>
      </c>
      <c r="G110" s="1" t="s">
        <v>38</v>
      </c>
    </row>
    <row r="111" customFormat="false" ht="15" hidden="false" customHeight="false" outlineLevel="0" collapsed="false">
      <c r="A111" s="1" t="n">
        <v>22</v>
      </c>
      <c r="B111" s="1" t="s">
        <v>892</v>
      </c>
      <c r="C111" s="1" t="s">
        <v>197</v>
      </c>
      <c r="D111" s="1" t="s">
        <v>1239</v>
      </c>
      <c r="E111" s="1" t="s">
        <v>892</v>
      </c>
      <c r="F111" s="1" t="s">
        <v>52</v>
      </c>
      <c r="G111" s="1" t="s">
        <v>38</v>
      </c>
    </row>
    <row r="112" customFormat="false" ht="15" hidden="false" customHeight="false" outlineLevel="0" collapsed="false">
      <c r="A112" s="1" t="n">
        <v>23</v>
      </c>
      <c r="B112" s="1" t="s">
        <v>896</v>
      </c>
      <c r="C112" s="1" t="s">
        <v>810</v>
      </c>
      <c r="D112" s="1" t="s">
        <v>897</v>
      </c>
      <c r="E112" s="1" t="s">
        <v>896</v>
      </c>
      <c r="F112" s="1" t="s">
        <v>61</v>
      </c>
      <c r="G112" s="1" t="s">
        <v>8</v>
      </c>
    </row>
    <row r="113" customFormat="false" ht="15" hidden="false" customHeight="false" outlineLevel="0" collapsed="false">
      <c r="A113" s="1" t="n">
        <v>23</v>
      </c>
      <c r="B113" s="1" t="s">
        <v>896</v>
      </c>
      <c r="C113" s="1" t="s">
        <v>1463</v>
      </c>
      <c r="D113" s="1" t="s">
        <v>67</v>
      </c>
      <c r="E113" s="1" t="s">
        <v>896</v>
      </c>
      <c r="F113" s="1" t="s">
        <v>61</v>
      </c>
      <c r="G113" s="1" t="s">
        <v>8</v>
      </c>
    </row>
    <row r="114" customFormat="false" ht="15" hidden="false" customHeight="false" outlineLevel="0" collapsed="false">
      <c r="A114" s="1" t="n">
        <v>23</v>
      </c>
      <c r="B114" s="1" t="s">
        <v>896</v>
      </c>
      <c r="C114" s="1" t="s">
        <v>1483</v>
      </c>
      <c r="D114" s="1" t="s">
        <v>1241</v>
      </c>
      <c r="E114" s="1" t="s">
        <v>896</v>
      </c>
      <c r="F114" s="1" t="s">
        <v>61</v>
      </c>
      <c r="G114" s="1" t="s">
        <v>8</v>
      </c>
    </row>
    <row r="115" customFormat="false" ht="15" hidden="false" customHeight="false" outlineLevel="0" collapsed="false">
      <c r="A115" s="1" t="n">
        <v>23</v>
      </c>
      <c r="B115" s="1" t="s">
        <v>896</v>
      </c>
      <c r="C115" s="1" t="s">
        <v>196</v>
      </c>
      <c r="D115" s="1" t="s">
        <v>1243</v>
      </c>
      <c r="E115" s="1" t="s">
        <v>896</v>
      </c>
      <c r="F115" s="1" t="s">
        <v>61</v>
      </c>
      <c r="G115" s="1" t="s">
        <v>8</v>
      </c>
    </row>
    <row r="116" customFormat="false" ht="15" hidden="false" customHeight="false" outlineLevel="0" collapsed="false">
      <c r="A116" s="1" t="n">
        <v>23</v>
      </c>
      <c r="B116" s="1" t="s">
        <v>896</v>
      </c>
      <c r="C116" s="1" t="s">
        <v>197</v>
      </c>
      <c r="D116" s="1" t="s">
        <v>1244</v>
      </c>
      <c r="E116" s="1" t="s">
        <v>896</v>
      </c>
      <c r="F116" s="1" t="s">
        <v>61</v>
      </c>
      <c r="G116" s="1" t="s">
        <v>8</v>
      </c>
    </row>
    <row r="117" customFormat="false" ht="15" hidden="false" customHeight="false" outlineLevel="0" collapsed="false">
      <c r="A117" s="1" t="n">
        <v>24</v>
      </c>
      <c r="B117" s="1" t="s">
        <v>899</v>
      </c>
      <c r="C117" s="1" t="s">
        <v>810</v>
      </c>
      <c r="D117" s="1" t="s">
        <v>900</v>
      </c>
      <c r="E117" s="1" t="s">
        <v>899</v>
      </c>
      <c r="F117" s="1" t="s">
        <v>61</v>
      </c>
      <c r="G117" s="1" t="s">
        <v>8</v>
      </c>
    </row>
    <row r="118" customFormat="false" ht="15" hidden="false" customHeight="false" outlineLevel="0" collapsed="false">
      <c r="A118" s="1" t="n">
        <v>24</v>
      </c>
      <c r="B118" s="1" t="s">
        <v>899</v>
      </c>
      <c r="C118" s="1" t="s">
        <v>1463</v>
      </c>
      <c r="D118" s="1" t="s">
        <v>109</v>
      </c>
      <c r="E118" s="1" t="s">
        <v>899</v>
      </c>
      <c r="F118" s="1" t="s">
        <v>61</v>
      </c>
      <c r="G118" s="1" t="s">
        <v>8</v>
      </c>
    </row>
    <row r="119" customFormat="false" ht="15" hidden="false" customHeight="false" outlineLevel="0" collapsed="false">
      <c r="A119" s="1" t="n">
        <v>24</v>
      </c>
      <c r="B119" s="1" t="s">
        <v>899</v>
      </c>
      <c r="C119" s="1" t="s">
        <v>1483</v>
      </c>
      <c r="D119" s="1" t="s">
        <v>1248</v>
      </c>
      <c r="E119" s="1" t="s">
        <v>899</v>
      </c>
      <c r="F119" s="1" t="s">
        <v>61</v>
      </c>
      <c r="G119" s="1" t="s">
        <v>8</v>
      </c>
    </row>
    <row r="120" customFormat="false" ht="15" hidden="false" customHeight="false" outlineLevel="0" collapsed="false">
      <c r="A120" s="1" t="n">
        <v>24</v>
      </c>
      <c r="B120" s="1" t="s">
        <v>899</v>
      </c>
      <c r="C120" s="1" t="s">
        <v>196</v>
      </c>
      <c r="D120" s="1" t="s">
        <v>1250</v>
      </c>
      <c r="E120" s="1" t="s">
        <v>899</v>
      </c>
      <c r="F120" s="1" t="s">
        <v>61</v>
      </c>
      <c r="G120" s="1" t="s">
        <v>8</v>
      </c>
    </row>
    <row r="121" customFormat="false" ht="15" hidden="false" customHeight="false" outlineLevel="0" collapsed="false">
      <c r="A121" s="1" t="n">
        <v>24</v>
      </c>
      <c r="B121" s="1" t="s">
        <v>899</v>
      </c>
      <c r="C121" s="1" t="s">
        <v>197</v>
      </c>
      <c r="D121" s="1" t="s">
        <v>1251</v>
      </c>
      <c r="E121" s="1" t="s">
        <v>899</v>
      </c>
      <c r="F121" s="1" t="s">
        <v>61</v>
      </c>
      <c r="G121" s="1" t="s">
        <v>8</v>
      </c>
    </row>
    <row r="122" customFormat="false" ht="15" hidden="false" customHeight="false" outlineLevel="0" collapsed="false">
      <c r="A122" s="1" t="n">
        <v>25</v>
      </c>
      <c r="B122" s="1" t="s">
        <v>902</v>
      </c>
      <c r="C122" s="1" t="s">
        <v>810</v>
      </c>
      <c r="D122" s="1" t="s">
        <v>903</v>
      </c>
      <c r="E122" s="1" t="s">
        <v>902</v>
      </c>
      <c r="F122" s="1" t="s">
        <v>52</v>
      </c>
      <c r="G122" s="1" t="s">
        <v>38</v>
      </c>
    </row>
    <row r="123" customFormat="false" ht="15" hidden="false" customHeight="false" outlineLevel="0" collapsed="false">
      <c r="A123" s="1" t="n">
        <v>25</v>
      </c>
      <c r="B123" s="1" t="s">
        <v>902</v>
      </c>
      <c r="C123" s="1" t="s">
        <v>1463</v>
      </c>
      <c r="D123" s="1" t="s">
        <v>904</v>
      </c>
      <c r="E123" s="1" t="s">
        <v>902</v>
      </c>
      <c r="F123" s="1" t="s">
        <v>52</v>
      </c>
      <c r="G123" s="1" t="s">
        <v>38</v>
      </c>
    </row>
    <row r="124" customFormat="false" ht="15" hidden="false" customHeight="false" outlineLevel="0" collapsed="false">
      <c r="A124" s="1" t="n">
        <v>25</v>
      </c>
      <c r="B124" s="1" t="s">
        <v>902</v>
      </c>
      <c r="C124" s="1" t="s">
        <v>1483</v>
      </c>
      <c r="D124" s="1" t="s">
        <v>1254</v>
      </c>
      <c r="E124" s="1" t="s">
        <v>902</v>
      </c>
      <c r="F124" s="1" t="s">
        <v>52</v>
      </c>
      <c r="G124" s="1" t="s">
        <v>38</v>
      </c>
    </row>
    <row r="125" customFormat="false" ht="15" hidden="false" customHeight="false" outlineLevel="0" collapsed="false">
      <c r="A125" s="1" t="n">
        <v>25</v>
      </c>
      <c r="B125" s="1" t="s">
        <v>902</v>
      </c>
      <c r="C125" s="1" t="s">
        <v>196</v>
      </c>
      <c r="D125" s="1" t="s">
        <v>1256</v>
      </c>
      <c r="E125" s="1" t="s">
        <v>902</v>
      </c>
      <c r="F125" s="1" t="s">
        <v>52</v>
      </c>
      <c r="G125" s="1" t="s">
        <v>38</v>
      </c>
    </row>
    <row r="126" customFormat="false" ht="15" hidden="false" customHeight="false" outlineLevel="0" collapsed="false">
      <c r="A126" s="1" t="n">
        <v>25</v>
      </c>
      <c r="B126" s="1" t="s">
        <v>902</v>
      </c>
      <c r="C126" s="1" t="s">
        <v>197</v>
      </c>
      <c r="D126" s="1" t="s">
        <v>1257</v>
      </c>
      <c r="E126" s="1" t="s">
        <v>902</v>
      </c>
      <c r="F126" s="1" t="s">
        <v>52</v>
      </c>
      <c r="G126" s="1" t="s">
        <v>38</v>
      </c>
    </row>
    <row r="127" customFormat="false" ht="15" hidden="false" customHeight="false" outlineLevel="0" collapsed="false">
      <c r="A127" s="1" t="n">
        <v>26</v>
      </c>
      <c r="B127" s="1" t="s">
        <v>906</v>
      </c>
      <c r="C127" s="1" t="s">
        <v>810</v>
      </c>
      <c r="D127" s="1" t="s">
        <v>907</v>
      </c>
      <c r="E127" s="1" t="s">
        <v>906</v>
      </c>
      <c r="F127" s="1" t="s">
        <v>52</v>
      </c>
      <c r="G127" s="1" t="s">
        <v>38</v>
      </c>
    </row>
    <row r="128" customFormat="false" ht="15" hidden="false" customHeight="false" outlineLevel="0" collapsed="false">
      <c r="A128" s="1" t="n">
        <v>26</v>
      </c>
      <c r="B128" s="1" t="s">
        <v>906</v>
      </c>
      <c r="C128" s="1" t="s">
        <v>1463</v>
      </c>
      <c r="D128" s="1" t="s">
        <v>908</v>
      </c>
      <c r="E128" s="1" t="s">
        <v>906</v>
      </c>
      <c r="F128" s="1" t="s">
        <v>52</v>
      </c>
      <c r="G128" s="1" t="s">
        <v>38</v>
      </c>
    </row>
    <row r="129" customFormat="false" ht="15" hidden="false" customHeight="false" outlineLevel="0" collapsed="false">
      <c r="A129" s="1" t="n">
        <v>26</v>
      </c>
      <c r="B129" s="1" t="s">
        <v>906</v>
      </c>
      <c r="C129" s="1" t="s">
        <v>1483</v>
      </c>
      <c r="D129" s="1" t="s">
        <v>1260</v>
      </c>
      <c r="E129" s="1" t="s">
        <v>906</v>
      </c>
      <c r="F129" s="1" t="s">
        <v>52</v>
      </c>
      <c r="G129" s="1" t="s">
        <v>38</v>
      </c>
    </row>
    <row r="130" customFormat="false" ht="15" hidden="false" customHeight="false" outlineLevel="0" collapsed="false">
      <c r="A130" s="1" t="n">
        <v>26</v>
      </c>
      <c r="B130" s="1" t="s">
        <v>906</v>
      </c>
      <c r="C130" s="1" t="s">
        <v>196</v>
      </c>
      <c r="D130" s="1" t="s">
        <v>1262</v>
      </c>
      <c r="E130" s="1" t="s">
        <v>906</v>
      </c>
      <c r="F130" s="1" t="s">
        <v>52</v>
      </c>
      <c r="G130" s="1" t="s">
        <v>38</v>
      </c>
    </row>
    <row r="131" customFormat="false" ht="15" hidden="false" customHeight="false" outlineLevel="0" collapsed="false">
      <c r="A131" s="1" t="n">
        <v>26</v>
      </c>
      <c r="B131" s="1" t="s">
        <v>906</v>
      </c>
      <c r="C131" s="1" t="s">
        <v>197</v>
      </c>
      <c r="D131" s="1" t="s">
        <v>1263</v>
      </c>
      <c r="E131" s="1" t="s">
        <v>906</v>
      </c>
      <c r="F131" s="1" t="s">
        <v>52</v>
      </c>
      <c r="G131" s="1" t="s">
        <v>38</v>
      </c>
    </row>
    <row r="132" customFormat="false" ht="15" hidden="false" customHeight="false" outlineLevel="0" collapsed="false">
      <c r="A132" s="1" t="n">
        <v>27</v>
      </c>
      <c r="B132" s="1" t="s">
        <v>115</v>
      </c>
      <c r="C132" s="1" t="s">
        <v>810</v>
      </c>
      <c r="D132" s="1" t="s">
        <v>910</v>
      </c>
      <c r="E132" s="1" t="s">
        <v>912</v>
      </c>
      <c r="F132" s="1" t="s">
        <v>61</v>
      </c>
      <c r="G132" s="1" t="s">
        <v>8</v>
      </c>
    </row>
    <row r="133" customFormat="false" ht="15" hidden="false" customHeight="false" outlineLevel="0" collapsed="false">
      <c r="A133" s="1" t="n">
        <v>27</v>
      </c>
      <c r="B133" s="1" t="s">
        <v>115</v>
      </c>
      <c r="C133" s="1" t="s">
        <v>1463</v>
      </c>
      <c r="D133" s="1" t="s">
        <v>70</v>
      </c>
      <c r="E133" s="1" t="s">
        <v>912</v>
      </c>
      <c r="F133" s="1" t="s">
        <v>61</v>
      </c>
      <c r="G133" s="1" t="s">
        <v>8</v>
      </c>
    </row>
    <row r="134" customFormat="false" ht="15" hidden="false" customHeight="false" outlineLevel="0" collapsed="false">
      <c r="A134" s="1" t="n">
        <v>27</v>
      </c>
      <c r="B134" s="1" t="s">
        <v>115</v>
      </c>
      <c r="C134" s="1" t="s">
        <v>1483</v>
      </c>
      <c r="D134" s="1" t="s">
        <v>1266</v>
      </c>
      <c r="E134" s="1" t="s">
        <v>912</v>
      </c>
      <c r="F134" s="1" t="s">
        <v>61</v>
      </c>
      <c r="G134" s="1" t="s">
        <v>8</v>
      </c>
    </row>
    <row r="135" customFormat="false" ht="15" hidden="false" customHeight="false" outlineLevel="0" collapsed="false">
      <c r="A135" s="1" t="n">
        <v>27</v>
      </c>
      <c r="B135" s="1" t="s">
        <v>115</v>
      </c>
      <c r="C135" s="1" t="s">
        <v>196</v>
      </c>
      <c r="D135" s="1" t="s">
        <v>1268</v>
      </c>
      <c r="E135" s="1" t="s">
        <v>912</v>
      </c>
      <c r="F135" s="1" t="s">
        <v>61</v>
      </c>
      <c r="G135" s="1" t="s">
        <v>8</v>
      </c>
    </row>
    <row r="136" customFormat="false" ht="15" hidden="false" customHeight="false" outlineLevel="0" collapsed="false">
      <c r="A136" s="1" t="n">
        <v>27</v>
      </c>
      <c r="B136" s="1" t="s">
        <v>115</v>
      </c>
      <c r="C136" s="1" t="s">
        <v>197</v>
      </c>
      <c r="D136" s="1" t="s">
        <v>1269</v>
      </c>
      <c r="E136" s="1" t="s">
        <v>912</v>
      </c>
      <c r="F136" s="1" t="s">
        <v>61</v>
      </c>
      <c r="G136" s="1" t="s">
        <v>8</v>
      </c>
    </row>
    <row r="137" customFormat="false" ht="15" hidden="false" customHeight="false" outlineLevel="0" collapsed="false">
      <c r="A137" s="1" t="n">
        <v>28</v>
      </c>
      <c r="B137" s="1" t="s">
        <v>914</v>
      </c>
      <c r="C137" s="1" t="s">
        <v>810</v>
      </c>
      <c r="D137" s="1" t="s">
        <v>915</v>
      </c>
      <c r="E137" s="1" t="s">
        <v>914</v>
      </c>
      <c r="F137" s="1" t="s">
        <v>52</v>
      </c>
      <c r="G137" s="1" t="s">
        <v>38</v>
      </c>
    </row>
    <row r="138" customFormat="false" ht="15" hidden="false" customHeight="false" outlineLevel="0" collapsed="false">
      <c r="A138" s="1" t="n">
        <v>28</v>
      </c>
      <c r="B138" s="1" t="s">
        <v>914</v>
      </c>
      <c r="C138" s="1" t="s">
        <v>1463</v>
      </c>
      <c r="D138" s="1" t="s">
        <v>22</v>
      </c>
      <c r="E138" s="1" t="s">
        <v>914</v>
      </c>
      <c r="F138" s="1" t="s">
        <v>52</v>
      </c>
      <c r="G138" s="1" t="s">
        <v>38</v>
      </c>
    </row>
    <row r="139" customFormat="false" ht="15" hidden="false" customHeight="false" outlineLevel="0" collapsed="false">
      <c r="A139" s="1" t="n">
        <v>28</v>
      </c>
      <c r="B139" s="1" t="s">
        <v>914</v>
      </c>
      <c r="C139" s="1" t="s">
        <v>1483</v>
      </c>
      <c r="D139" s="1" t="s">
        <v>1272</v>
      </c>
      <c r="E139" s="1" t="s">
        <v>914</v>
      </c>
      <c r="F139" s="1" t="s">
        <v>52</v>
      </c>
      <c r="G139" s="1" t="s">
        <v>38</v>
      </c>
    </row>
    <row r="140" customFormat="false" ht="15" hidden="false" customHeight="false" outlineLevel="0" collapsed="false">
      <c r="A140" s="1" t="n">
        <v>28</v>
      </c>
      <c r="B140" s="1" t="s">
        <v>914</v>
      </c>
      <c r="C140" s="1" t="s">
        <v>196</v>
      </c>
      <c r="D140" s="1" t="s">
        <v>1274</v>
      </c>
      <c r="E140" s="1" t="s">
        <v>914</v>
      </c>
      <c r="F140" s="1" t="s">
        <v>52</v>
      </c>
      <c r="G140" s="1" t="s">
        <v>38</v>
      </c>
    </row>
    <row r="141" customFormat="false" ht="15" hidden="false" customHeight="false" outlineLevel="0" collapsed="false">
      <c r="A141" s="1" t="n">
        <v>28</v>
      </c>
      <c r="B141" s="1" t="s">
        <v>914</v>
      </c>
      <c r="C141" s="1" t="s">
        <v>197</v>
      </c>
      <c r="D141" s="1" t="s">
        <v>1275</v>
      </c>
      <c r="E141" s="1" t="s">
        <v>914</v>
      </c>
      <c r="F141" s="1" t="s">
        <v>52</v>
      </c>
      <c r="G141" s="1" t="s">
        <v>38</v>
      </c>
    </row>
    <row r="142" customFormat="false" ht="15" hidden="false" customHeight="false" outlineLevel="0" collapsed="false">
      <c r="A142" s="1" t="n">
        <v>29</v>
      </c>
      <c r="B142" s="1" t="s">
        <v>917</v>
      </c>
      <c r="C142" s="1" t="s">
        <v>810</v>
      </c>
      <c r="D142" s="1" t="s">
        <v>919</v>
      </c>
      <c r="E142" s="1" t="s">
        <v>917</v>
      </c>
      <c r="F142" s="1" t="s">
        <v>52</v>
      </c>
      <c r="G142" s="1" t="s">
        <v>38</v>
      </c>
    </row>
    <row r="143" customFormat="false" ht="15" hidden="false" customHeight="false" outlineLevel="0" collapsed="false">
      <c r="A143" s="1" t="n">
        <v>29</v>
      </c>
      <c r="B143" s="1" t="s">
        <v>917</v>
      </c>
      <c r="C143" s="1" t="s">
        <v>1463</v>
      </c>
      <c r="D143" s="1" t="s">
        <v>89</v>
      </c>
      <c r="E143" s="1" t="s">
        <v>917</v>
      </c>
      <c r="F143" s="1" t="s">
        <v>52</v>
      </c>
      <c r="G143" s="1" t="s">
        <v>38</v>
      </c>
    </row>
    <row r="144" customFormat="false" ht="15" hidden="false" customHeight="false" outlineLevel="0" collapsed="false">
      <c r="A144" s="1" t="n">
        <v>29</v>
      </c>
      <c r="B144" s="1" t="s">
        <v>917</v>
      </c>
      <c r="C144" s="1" t="s">
        <v>1483</v>
      </c>
      <c r="D144" s="1" t="s">
        <v>1278</v>
      </c>
      <c r="E144" s="1" t="s">
        <v>917</v>
      </c>
      <c r="F144" s="1" t="s">
        <v>52</v>
      </c>
      <c r="G144" s="1" t="s">
        <v>38</v>
      </c>
    </row>
    <row r="145" customFormat="false" ht="15" hidden="false" customHeight="false" outlineLevel="0" collapsed="false">
      <c r="A145" s="1" t="n">
        <v>29</v>
      </c>
      <c r="B145" s="1" t="s">
        <v>917</v>
      </c>
      <c r="C145" s="1" t="s">
        <v>196</v>
      </c>
      <c r="D145" s="1" t="s">
        <v>1280</v>
      </c>
      <c r="E145" s="1" t="s">
        <v>917</v>
      </c>
      <c r="F145" s="1" t="s">
        <v>52</v>
      </c>
      <c r="G145" s="1" t="s">
        <v>38</v>
      </c>
    </row>
    <row r="146" customFormat="false" ht="15" hidden="false" customHeight="false" outlineLevel="0" collapsed="false">
      <c r="A146" s="1" t="n">
        <v>29</v>
      </c>
      <c r="B146" s="1" t="s">
        <v>917</v>
      </c>
      <c r="C146" s="1" t="s">
        <v>197</v>
      </c>
      <c r="D146" s="1" t="s">
        <v>1281</v>
      </c>
      <c r="E146" s="1" t="s">
        <v>917</v>
      </c>
      <c r="F146" s="1" t="s">
        <v>52</v>
      </c>
      <c r="G146" s="1" t="s">
        <v>38</v>
      </c>
    </row>
    <row r="147" customFormat="false" ht="15" hidden="false" customHeight="false" outlineLevel="0" collapsed="false">
      <c r="A147" s="1" t="n">
        <v>30</v>
      </c>
      <c r="B147" s="1" t="s">
        <v>921</v>
      </c>
      <c r="C147" s="1" t="s">
        <v>810</v>
      </c>
      <c r="D147" s="1" t="s">
        <v>922</v>
      </c>
      <c r="E147" s="1" t="s">
        <v>921</v>
      </c>
      <c r="F147" s="1" t="s">
        <v>52</v>
      </c>
      <c r="G147" s="1" t="s">
        <v>38</v>
      </c>
    </row>
    <row r="148" customFormat="false" ht="15" hidden="false" customHeight="false" outlineLevel="0" collapsed="false">
      <c r="A148" s="1" t="n">
        <v>30</v>
      </c>
      <c r="B148" s="1" t="s">
        <v>921</v>
      </c>
      <c r="C148" s="1" t="s">
        <v>1463</v>
      </c>
      <c r="D148" s="1" t="s">
        <v>20</v>
      </c>
      <c r="E148" s="1" t="s">
        <v>921</v>
      </c>
      <c r="F148" s="1" t="s">
        <v>52</v>
      </c>
      <c r="G148" s="1" t="s">
        <v>38</v>
      </c>
    </row>
    <row r="149" customFormat="false" ht="15" hidden="false" customHeight="false" outlineLevel="0" collapsed="false">
      <c r="A149" s="1" t="n">
        <v>30</v>
      </c>
      <c r="B149" s="1" t="s">
        <v>921</v>
      </c>
      <c r="C149" s="1" t="s">
        <v>1483</v>
      </c>
      <c r="D149" s="1" t="s">
        <v>1285</v>
      </c>
      <c r="E149" s="1" t="s">
        <v>921</v>
      </c>
      <c r="F149" s="1" t="s">
        <v>52</v>
      </c>
      <c r="G149" s="1" t="s">
        <v>38</v>
      </c>
    </row>
    <row r="150" customFormat="false" ht="15" hidden="false" customHeight="false" outlineLevel="0" collapsed="false">
      <c r="A150" s="1" t="n">
        <v>30</v>
      </c>
      <c r="B150" s="1" t="s">
        <v>921</v>
      </c>
      <c r="C150" s="1" t="s">
        <v>196</v>
      </c>
      <c r="D150" s="1" t="s">
        <v>1287</v>
      </c>
      <c r="E150" s="1" t="s">
        <v>921</v>
      </c>
      <c r="F150" s="1" t="s">
        <v>52</v>
      </c>
      <c r="G150" s="1" t="s">
        <v>38</v>
      </c>
    </row>
    <row r="151" customFormat="false" ht="15" hidden="false" customHeight="false" outlineLevel="0" collapsed="false">
      <c r="A151" s="1" t="n">
        <v>30</v>
      </c>
      <c r="B151" s="1" t="s">
        <v>921</v>
      </c>
      <c r="C151" s="1" t="s">
        <v>197</v>
      </c>
      <c r="D151" s="1" t="s">
        <v>1288</v>
      </c>
      <c r="E151" s="1" t="s">
        <v>921</v>
      </c>
      <c r="F151" s="1" t="s">
        <v>52</v>
      </c>
      <c r="G151" s="1" t="s">
        <v>38</v>
      </c>
    </row>
    <row r="152" customFormat="false" ht="15" hidden="false" customHeight="false" outlineLevel="0" collapsed="false">
      <c r="A152" s="1" t="n">
        <v>31</v>
      </c>
      <c r="B152" s="1" t="s">
        <v>924</v>
      </c>
      <c r="C152" s="1" t="s">
        <v>810</v>
      </c>
      <c r="D152" s="1" t="s">
        <v>925</v>
      </c>
      <c r="E152" s="1" t="s">
        <v>924</v>
      </c>
      <c r="F152" s="1" t="s">
        <v>61</v>
      </c>
      <c r="G152" s="1" t="s">
        <v>8</v>
      </c>
    </row>
    <row r="153" customFormat="false" ht="15" hidden="false" customHeight="false" outlineLevel="0" collapsed="false">
      <c r="A153" s="1" t="n">
        <v>31</v>
      </c>
      <c r="B153" s="1" t="s">
        <v>924</v>
      </c>
      <c r="C153" s="1" t="s">
        <v>1463</v>
      </c>
      <c r="D153" s="1" t="s">
        <v>926</v>
      </c>
      <c r="E153" s="1" t="s">
        <v>924</v>
      </c>
      <c r="F153" s="1" t="s">
        <v>61</v>
      </c>
      <c r="G153" s="1" t="s">
        <v>8</v>
      </c>
    </row>
    <row r="154" customFormat="false" ht="15" hidden="false" customHeight="false" outlineLevel="0" collapsed="false">
      <c r="A154" s="1" t="n">
        <v>31</v>
      </c>
      <c r="B154" s="1" t="s">
        <v>924</v>
      </c>
      <c r="C154" s="1" t="s">
        <v>1483</v>
      </c>
      <c r="D154" s="1" t="s">
        <v>1291</v>
      </c>
      <c r="E154" s="1" t="s">
        <v>924</v>
      </c>
      <c r="F154" s="1" t="s">
        <v>61</v>
      </c>
      <c r="G154" s="1" t="s">
        <v>8</v>
      </c>
    </row>
    <row r="155" customFormat="false" ht="15" hidden="false" customHeight="false" outlineLevel="0" collapsed="false">
      <c r="A155" s="1" t="n">
        <v>31</v>
      </c>
      <c r="B155" s="1" t="s">
        <v>924</v>
      </c>
      <c r="C155" s="1" t="s">
        <v>196</v>
      </c>
      <c r="D155" s="1" t="s">
        <v>1293</v>
      </c>
      <c r="E155" s="1" t="s">
        <v>924</v>
      </c>
      <c r="F155" s="1" t="s">
        <v>61</v>
      </c>
      <c r="G155" s="1" t="s">
        <v>8</v>
      </c>
    </row>
    <row r="156" customFormat="false" ht="15" hidden="false" customHeight="false" outlineLevel="0" collapsed="false">
      <c r="A156" s="1" t="n">
        <v>31</v>
      </c>
      <c r="B156" s="1" t="s">
        <v>924</v>
      </c>
      <c r="C156" s="1" t="s">
        <v>197</v>
      </c>
      <c r="D156" s="1" t="s">
        <v>1294</v>
      </c>
      <c r="E156" s="1" t="s">
        <v>924</v>
      </c>
      <c r="F156" s="1" t="s">
        <v>61</v>
      </c>
      <c r="G156" s="1" t="s">
        <v>8</v>
      </c>
    </row>
    <row r="157" customFormat="false" ht="15" hidden="false" customHeight="false" outlineLevel="0" collapsed="false">
      <c r="A157" s="1" t="n">
        <v>32</v>
      </c>
      <c r="B157" s="1" t="s">
        <v>928</v>
      </c>
      <c r="C157" s="1" t="s">
        <v>810</v>
      </c>
      <c r="D157" s="1" t="s">
        <v>929</v>
      </c>
      <c r="E157" s="1" t="s">
        <v>928</v>
      </c>
      <c r="F157" s="1" t="s">
        <v>61</v>
      </c>
      <c r="G157" s="1" t="s">
        <v>8</v>
      </c>
    </row>
    <row r="158" customFormat="false" ht="15" hidden="false" customHeight="false" outlineLevel="0" collapsed="false">
      <c r="A158" s="1" t="n">
        <v>32</v>
      </c>
      <c r="B158" s="1" t="s">
        <v>928</v>
      </c>
      <c r="C158" s="1" t="s">
        <v>1463</v>
      </c>
      <c r="D158" s="1" t="s">
        <v>930</v>
      </c>
      <c r="E158" s="1" t="s">
        <v>928</v>
      </c>
      <c r="F158" s="1" t="s">
        <v>61</v>
      </c>
      <c r="G158" s="1" t="s">
        <v>8</v>
      </c>
    </row>
    <row r="159" customFormat="false" ht="15" hidden="false" customHeight="false" outlineLevel="0" collapsed="false">
      <c r="A159" s="1" t="n">
        <v>32</v>
      </c>
      <c r="B159" s="1" t="s">
        <v>928</v>
      </c>
      <c r="C159" s="1" t="s">
        <v>1483</v>
      </c>
      <c r="D159" s="1" t="s">
        <v>1297</v>
      </c>
      <c r="E159" s="1" t="s">
        <v>928</v>
      </c>
      <c r="F159" s="1" t="s">
        <v>61</v>
      </c>
      <c r="G159" s="1" t="s">
        <v>8</v>
      </c>
    </row>
    <row r="160" customFormat="false" ht="15" hidden="false" customHeight="false" outlineLevel="0" collapsed="false">
      <c r="A160" s="1" t="n">
        <v>32</v>
      </c>
      <c r="B160" s="1" t="s">
        <v>928</v>
      </c>
      <c r="C160" s="1" t="s">
        <v>196</v>
      </c>
      <c r="D160" s="1" t="s">
        <v>1299</v>
      </c>
      <c r="E160" s="1" t="s">
        <v>928</v>
      </c>
      <c r="F160" s="1" t="s">
        <v>61</v>
      </c>
      <c r="G160" s="1" t="s">
        <v>8</v>
      </c>
    </row>
    <row r="161" customFormat="false" ht="15" hidden="false" customHeight="false" outlineLevel="0" collapsed="false">
      <c r="A161" s="1" t="n">
        <v>32</v>
      </c>
      <c r="B161" s="1" t="s">
        <v>928</v>
      </c>
      <c r="C161" s="1" t="s">
        <v>197</v>
      </c>
      <c r="D161" s="1" t="s">
        <v>1300</v>
      </c>
      <c r="E161" s="1" t="s">
        <v>928</v>
      </c>
      <c r="F161" s="1" t="s">
        <v>61</v>
      </c>
      <c r="G161" s="1" t="s">
        <v>8</v>
      </c>
    </row>
    <row r="162" customFormat="false" ht="15" hidden="false" customHeight="false" outlineLevel="0" collapsed="false">
      <c r="A162" s="1" t="n">
        <v>33</v>
      </c>
      <c r="B162" s="1" t="s">
        <v>932</v>
      </c>
      <c r="C162" s="1" t="s">
        <v>810</v>
      </c>
      <c r="D162" s="1" t="s">
        <v>933</v>
      </c>
      <c r="E162" s="1" t="s">
        <v>932</v>
      </c>
      <c r="F162" s="1" t="s">
        <v>61</v>
      </c>
      <c r="G162" s="1" t="s">
        <v>8</v>
      </c>
    </row>
    <row r="163" customFormat="false" ht="15" hidden="false" customHeight="false" outlineLevel="0" collapsed="false">
      <c r="A163" s="1" t="n">
        <v>33</v>
      </c>
      <c r="B163" s="1" t="s">
        <v>932</v>
      </c>
      <c r="C163" s="1" t="s">
        <v>1463</v>
      </c>
      <c r="D163" s="1" t="s">
        <v>19</v>
      </c>
      <c r="E163" s="1" t="s">
        <v>932</v>
      </c>
      <c r="F163" s="1" t="s">
        <v>61</v>
      </c>
      <c r="G163" s="1" t="s">
        <v>8</v>
      </c>
    </row>
    <row r="164" customFormat="false" ht="15" hidden="false" customHeight="false" outlineLevel="0" collapsed="false">
      <c r="A164" s="1" t="n">
        <v>33</v>
      </c>
      <c r="B164" s="1" t="s">
        <v>932</v>
      </c>
      <c r="C164" s="1" t="s">
        <v>1483</v>
      </c>
      <c r="D164" s="1" t="s">
        <v>1303</v>
      </c>
      <c r="E164" s="1" t="s">
        <v>932</v>
      </c>
      <c r="F164" s="1" t="s">
        <v>61</v>
      </c>
      <c r="G164" s="1" t="s">
        <v>8</v>
      </c>
    </row>
    <row r="165" customFormat="false" ht="15" hidden="false" customHeight="false" outlineLevel="0" collapsed="false">
      <c r="A165" s="1" t="n">
        <v>33</v>
      </c>
      <c r="B165" s="1" t="s">
        <v>932</v>
      </c>
      <c r="C165" s="1" t="s">
        <v>196</v>
      </c>
      <c r="D165" s="1" t="s">
        <v>1305</v>
      </c>
      <c r="E165" s="1" t="s">
        <v>932</v>
      </c>
      <c r="F165" s="1" t="s">
        <v>61</v>
      </c>
      <c r="G165" s="1" t="s">
        <v>8</v>
      </c>
    </row>
    <row r="166" customFormat="false" ht="15" hidden="false" customHeight="false" outlineLevel="0" collapsed="false">
      <c r="A166" s="1" t="n">
        <v>33</v>
      </c>
      <c r="B166" s="1" t="s">
        <v>932</v>
      </c>
      <c r="C166" s="1" t="s">
        <v>197</v>
      </c>
      <c r="D166" s="1" t="s">
        <v>1306</v>
      </c>
      <c r="E166" s="1" t="s">
        <v>932</v>
      </c>
      <c r="F166" s="1" t="s">
        <v>61</v>
      </c>
      <c r="G166" s="1" t="s">
        <v>8</v>
      </c>
    </row>
    <row r="167" customFormat="false" ht="15" hidden="false" customHeight="false" outlineLevel="0" collapsed="false">
      <c r="A167" s="1" t="n">
        <v>34</v>
      </c>
      <c r="B167" s="1" t="s">
        <v>935</v>
      </c>
      <c r="C167" s="1" t="s">
        <v>810</v>
      </c>
      <c r="D167" s="1" t="s">
        <v>936</v>
      </c>
      <c r="E167" s="1" t="s">
        <v>935</v>
      </c>
      <c r="F167" s="1" t="s">
        <v>61</v>
      </c>
      <c r="G167" s="1" t="s">
        <v>8</v>
      </c>
    </row>
    <row r="168" customFormat="false" ht="15" hidden="false" customHeight="false" outlineLevel="0" collapsed="false">
      <c r="A168" s="1" t="n">
        <v>34</v>
      </c>
      <c r="B168" s="1" t="s">
        <v>935</v>
      </c>
      <c r="C168" s="1" t="s">
        <v>1463</v>
      </c>
      <c r="D168" s="1" t="s">
        <v>22</v>
      </c>
      <c r="E168" s="1" t="s">
        <v>935</v>
      </c>
      <c r="F168" s="1" t="s">
        <v>61</v>
      </c>
      <c r="G168" s="1" t="s">
        <v>8</v>
      </c>
    </row>
    <row r="169" customFormat="false" ht="15" hidden="false" customHeight="false" outlineLevel="0" collapsed="false">
      <c r="A169" s="1" t="n">
        <v>34</v>
      </c>
      <c r="B169" s="1" t="s">
        <v>935</v>
      </c>
      <c r="C169" s="1" t="s">
        <v>1483</v>
      </c>
      <c r="D169" s="1" t="s">
        <v>1309</v>
      </c>
      <c r="E169" s="1" t="s">
        <v>935</v>
      </c>
      <c r="F169" s="1" t="s">
        <v>61</v>
      </c>
      <c r="G169" s="1" t="s">
        <v>8</v>
      </c>
    </row>
    <row r="170" customFormat="false" ht="15" hidden="false" customHeight="false" outlineLevel="0" collapsed="false">
      <c r="A170" s="1" t="n">
        <v>34</v>
      </c>
      <c r="B170" s="1" t="s">
        <v>935</v>
      </c>
      <c r="C170" s="1" t="s">
        <v>196</v>
      </c>
      <c r="D170" s="1" t="s">
        <v>1311</v>
      </c>
      <c r="E170" s="1" t="s">
        <v>935</v>
      </c>
      <c r="F170" s="1" t="s">
        <v>61</v>
      </c>
      <c r="G170" s="1" t="s">
        <v>8</v>
      </c>
    </row>
    <row r="171" customFormat="false" ht="15" hidden="false" customHeight="false" outlineLevel="0" collapsed="false">
      <c r="A171" s="1" t="n">
        <v>34</v>
      </c>
      <c r="B171" s="1" t="s">
        <v>935</v>
      </c>
      <c r="C171" s="1" t="s">
        <v>197</v>
      </c>
      <c r="D171" s="1" t="s">
        <v>1312</v>
      </c>
      <c r="E171" s="1" t="s">
        <v>935</v>
      </c>
      <c r="F171" s="1" t="s">
        <v>61</v>
      </c>
      <c r="G171" s="1" t="s">
        <v>8</v>
      </c>
    </row>
    <row r="172" customFormat="false" ht="15" hidden="false" customHeight="false" outlineLevel="0" collapsed="false">
      <c r="A172" s="1" t="n">
        <v>35</v>
      </c>
      <c r="B172" s="1" t="s">
        <v>132</v>
      </c>
      <c r="C172" s="1" t="s">
        <v>810</v>
      </c>
      <c r="D172" s="1" t="s">
        <v>16</v>
      </c>
      <c r="E172" s="1" t="s">
        <v>938</v>
      </c>
      <c r="F172" s="1" t="s">
        <v>61</v>
      </c>
      <c r="G172" s="1" t="s">
        <v>8</v>
      </c>
    </row>
    <row r="173" customFormat="false" ht="15" hidden="false" customHeight="false" outlineLevel="0" collapsed="false">
      <c r="A173" s="1" t="n">
        <v>35</v>
      </c>
      <c r="B173" s="1" t="s">
        <v>132</v>
      </c>
      <c r="C173" s="1" t="s">
        <v>1463</v>
      </c>
      <c r="D173" s="1" t="s">
        <v>22</v>
      </c>
      <c r="E173" s="1" t="s">
        <v>938</v>
      </c>
      <c r="F173" s="1" t="s">
        <v>61</v>
      </c>
      <c r="G173" s="1" t="s">
        <v>8</v>
      </c>
    </row>
    <row r="174" customFormat="false" ht="15" hidden="false" customHeight="false" outlineLevel="0" collapsed="false">
      <c r="A174" s="1" t="n">
        <v>35</v>
      </c>
      <c r="B174" s="1" t="s">
        <v>132</v>
      </c>
      <c r="C174" s="1" t="s">
        <v>1483</v>
      </c>
      <c r="D174" s="1" t="s">
        <v>1314</v>
      </c>
      <c r="E174" s="1" t="s">
        <v>938</v>
      </c>
      <c r="F174" s="1" t="s">
        <v>61</v>
      </c>
      <c r="G174" s="1" t="s">
        <v>8</v>
      </c>
    </row>
    <row r="175" customFormat="false" ht="15" hidden="false" customHeight="false" outlineLevel="0" collapsed="false">
      <c r="A175" s="1" t="n">
        <v>35</v>
      </c>
      <c r="B175" s="1" t="s">
        <v>132</v>
      </c>
      <c r="C175" s="1" t="s">
        <v>196</v>
      </c>
      <c r="D175" s="1" t="s">
        <v>1316</v>
      </c>
      <c r="E175" s="1" t="s">
        <v>938</v>
      </c>
      <c r="F175" s="1" t="s">
        <v>61</v>
      </c>
      <c r="G175" s="1" t="s">
        <v>8</v>
      </c>
    </row>
    <row r="176" customFormat="false" ht="15" hidden="false" customHeight="false" outlineLevel="0" collapsed="false">
      <c r="A176" s="1" t="n">
        <v>35</v>
      </c>
      <c r="B176" s="1" t="s">
        <v>132</v>
      </c>
      <c r="C176" s="1" t="s">
        <v>197</v>
      </c>
      <c r="D176" s="1" t="s">
        <v>1317</v>
      </c>
      <c r="E176" s="1" t="s">
        <v>938</v>
      </c>
      <c r="F176" s="1" t="s">
        <v>61</v>
      </c>
      <c r="G176" s="1" t="s">
        <v>8</v>
      </c>
    </row>
    <row r="177" customFormat="false" ht="15" hidden="false" customHeight="false" outlineLevel="0" collapsed="false">
      <c r="A177" s="1" t="n">
        <v>36</v>
      </c>
      <c r="B177" s="1" t="s">
        <v>134</v>
      </c>
      <c r="C177" s="1" t="s">
        <v>810</v>
      </c>
      <c r="D177" s="1" t="s">
        <v>941</v>
      </c>
      <c r="E177" s="1" t="s">
        <v>942</v>
      </c>
      <c r="F177" s="1" t="s">
        <v>52</v>
      </c>
      <c r="G177" s="1" t="s">
        <v>38</v>
      </c>
    </row>
    <row r="178" customFormat="false" ht="15" hidden="false" customHeight="false" outlineLevel="0" collapsed="false">
      <c r="A178" s="1" t="n">
        <v>36</v>
      </c>
      <c r="B178" s="1" t="s">
        <v>134</v>
      </c>
      <c r="C178" s="1" t="s">
        <v>1463</v>
      </c>
      <c r="D178" s="1" t="s">
        <v>20</v>
      </c>
      <c r="E178" s="1" t="s">
        <v>942</v>
      </c>
      <c r="F178" s="1" t="s">
        <v>52</v>
      </c>
      <c r="G178" s="1" t="s">
        <v>38</v>
      </c>
    </row>
    <row r="179" customFormat="false" ht="15" hidden="false" customHeight="false" outlineLevel="0" collapsed="false">
      <c r="A179" s="1" t="n">
        <v>36</v>
      </c>
      <c r="B179" s="1" t="s">
        <v>134</v>
      </c>
      <c r="C179" s="1" t="s">
        <v>1483</v>
      </c>
      <c r="D179" s="1" t="s">
        <v>1321</v>
      </c>
      <c r="E179" s="1" t="s">
        <v>942</v>
      </c>
      <c r="F179" s="1" t="s">
        <v>52</v>
      </c>
      <c r="G179" s="1" t="s">
        <v>38</v>
      </c>
    </row>
    <row r="180" customFormat="false" ht="15" hidden="false" customHeight="false" outlineLevel="0" collapsed="false">
      <c r="A180" s="1" t="n">
        <v>36</v>
      </c>
      <c r="B180" s="1" t="s">
        <v>134</v>
      </c>
      <c r="C180" s="1" t="s">
        <v>196</v>
      </c>
      <c r="D180" s="1" t="s">
        <v>1323</v>
      </c>
      <c r="E180" s="1" t="s">
        <v>942</v>
      </c>
      <c r="F180" s="1" t="s">
        <v>52</v>
      </c>
      <c r="G180" s="1" t="s">
        <v>38</v>
      </c>
    </row>
    <row r="181" customFormat="false" ht="15" hidden="false" customHeight="false" outlineLevel="0" collapsed="false">
      <c r="A181" s="1" t="n">
        <v>36</v>
      </c>
      <c r="B181" s="1" t="s">
        <v>134</v>
      </c>
      <c r="C181" s="1" t="s">
        <v>197</v>
      </c>
      <c r="D181" s="1" t="s">
        <v>1324</v>
      </c>
      <c r="E181" s="1" t="s">
        <v>942</v>
      </c>
      <c r="F181" s="1" t="s">
        <v>52</v>
      </c>
      <c r="G181" s="1" t="s">
        <v>38</v>
      </c>
    </row>
    <row r="182" customFormat="false" ht="15" hidden="false" customHeight="false" outlineLevel="0" collapsed="false">
      <c r="A182" s="1" t="n">
        <v>37</v>
      </c>
      <c r="B182" s="1" t="s">
        <v>944</v>
      </c>
      <c r="C182" s="1" t="s">
        <v>810</v>
      </c>
      <c r="D182" s="1" t="s">
        <v>945</v>
      </c>
      <c r="E182" s="1" t="s">
        <v>944</v>
      </c>
      <c r="F182" s="1" t="s">
        <v>61</v>
      </c>
      <c r="G182" s="1" t="s">
        <v>8</v>
      </c>
    </row>
    <row r="183" customFormat="false" ht="15" hidden="false" customHeight="false" outlineLevel="0" collapsed="false">
      <c r="A183" s="1" t="n">
        <v>37</v>
      </c>
      <c r="B183" s="1" t="s">
        <v>944</v>
      </c>
      <c r="C183" s="1" t="s">
        <v>1463</v>
      </c>
      <c r="D183" s="1" t="s">
        <v>20</v>
      </c>
      <c r="E183" s="1" t="s">
        <v>944</v>
      </c>
      <c r="F183" s="1" t="s">
        <v>61</v>
      </c>
      <c r="G183" s="1" t="s">
        <v>8</v>
      </c>
    </row>
    <row r="184" customFormat="false" ht="15" hidden="false" customHeight="false" outlineLevel="0" collapsed="false">
      <c r="A184" s="1" t="n">
        <v>37</v>
      </c>
      <c r="B184" s="1" t="s">
        <v>944</v>
      </c>
      <c r="C184" s="1" t="s">
        <v>1483</v>
      </c>
      <c r="D184" s="1" t="s">
        <v>1325</v>
      </c>
      <c r="E184" s="1" t="s">
        <v>944</v>
      </c>
      <c r="F184" s="1" t="s">
        <v>61</v>
      </c>
      <c r="G184" s="1" t="s">
        <v>8</v>
      </c>
    </row>
    <row r="185" customFormat="false" ht="15" hidden="false" customHeight="false" outlineLevel="0" collapsed="false">
      <c r="A185" s="1" t="n">
        <v>37</v>
      </c>
      <c r="B185" s="1" t="s">
        <v>944</v>
      </c>
      <c r="C185" s="1" t="s">
        <v>196</v>
      </c>
      <c r="D185" s="1" t="s">
        <v>1327</v>
      </c>
      <c r="E185" s="1" t="s">
        <v>944</v>
      </c>
      <c r="F185" s="1" t="s">
        <v>61</v>
      </c>
      <c r="G185" s="1" t="s">
        <v>8</v>
      </c>
    </row>
    <row r="186" customFormat="false" ht="15" hidden="false" customHeight="false" outlineLevel="0" collapsed="false">
      <c r="A186" s="1" t="n">
        <v>37</v>
      </c>
      <c r="B186" s="1" t="s">
        <v>944</v>
      </c>
      <c r="C186" s="1" t="s">
        <v>197</v>
      </c>
      <c r="D186" s="1" t="s">
        <v>1328</v>
      </c>
      <c r="E186" s="1" t="s">
        <v>944</v>
      </c>
      <c r="F186" s="1" t="s">
        <v>61</v>
      </c>
      <c r="G186" s="1" t="s">
        <v>8</v>
      </c>
    </row>
    <row r="187" customFormat="false" ht="15" hidden="false" customHeight="false" outlineLevel="0" collapsed="false">
      <c r="A187" s="1" t="n">
        <v>38</v>
      </c>
      <c r="B187" s="1" t="s">
        <v>947</v>
      </c>
      <c r="C187" s="1" t="s">
        <v>810</v>
      </c>
      <c r="D187" s="1" t="s">
        <v>933</v>
      </c>
      <c r="E187" s="1" t="s">
        <v>947</v>
      </c>
      <c r="F187" s="1" t="s">
        <v>61</v>
      </c>
      <c r="G187" s="1" t="s">
        <v>8</v>
      </c>
    </row>
    <row r="188" customFormat="false" ht="15" hidden="false" customHeight="false" outlineLevel="0" collapsed="false">
      <c r="A188" s="1" t="n">
        <v>38</v>
      </c>
      <c r="B188" s="1" t="s">
        <v>947</v>
      </c>
      <c r="C188" s="1" t="s">
        <v>1463</v>
      </c>
      <c r="D188" s="1" t="s">
        <v>19</v>
      </c>
      <c r="E188" s="1" t="s">
        <v>947</v>
      </c>
      <c r="F188" s="1" t="s">
        <v>61</v>
      </c>
      <c r="G188" s="1" t="s">
        <v>8</v>
      </c>
    </row>
    <row r="189" customFormat="false" ht="15" hidden="false" customHeight="false" outlineLevel="0" collapsed="false">
      <c r="A189" s="1" t="n">
        <v>38</v>
      </c>
      <c r="B189" s="1" t="s">
        <v>947</v>
      </c>
      <c r="C189" s="1" t="s">
        <v>1483</v>
      </c>
      <c r="D189" s="1" t="s">
        <v>1331</v>
      </c>
      <c r="E189" s="1" t="s">
        <v>947</v>
      </c>
      <c r="F189" s="1" t="s">
        <v>61</v>
      </c>
      <c r="G189" s="1" t="s">
        <v>8</v>
      </c>
    </row>
    <row r="190" customFormat="false" ht="15" hidden="false" customHeight="false" outlineLevel="0" collapsed="false">
      <c r="A190" s="1" t="n">
        <v>38</v>
      </c>
      <c r="B190" s="1" t="s">
        <v>947</v>
      </c>
      <c r="C190" s="1" t="s">
        <v>196</v>
      </c>
      <c r="D190" s="1" t="s">
        <v>1333</v>
      </c>
      <c r="E190" s="1" t="s">
        <v>947</v>
      </c>
      <c r="F190" s="1" t="s">
        <v>61</v>
      </c>
      <c r="G190" s="1" t="s">
        <v>8</v>
      </c>
    </row>
    <row r="191" customFormat="false" ht="15" hidden="false" customHeight="false" outlineLevel="0" collapsed="false">
      <c r="A191" s="1" t="n">
        <v>38</v>
      </c>
      <c r="B191" s="1" t="s">
        <v>947</v>
      </c>
      <c r="C191" s="1" t="s">
        <v>197</v>
      </c>
      <c r="D191" s="1" t="s">
        <v>1334</v>
      </c>
      <c r="E191" s="1" t="s">
        <v>947</v>
      </c>
      <c r="F191" s="1" t="s">
        <v>61</v>
      </c>
      <c r="G191" s="1" t="s">
        <v>8</v>
      </c>
    </row>
    <row r="192" customFormat="false" ht="15" hidden="false" customHeight="false" outlineLevel="0" collapsed="false">
      <c r="A192" s="1" t="n">
        <v>39</v>
      </c>
      <c r="B192" s="1" t="s">
        <v>949</v>
      </c>
      <c r="C192" s="1" t="s">
        <v>810</v>
      </c>
      <c r="D192" s="1" t="s">
        <v>950</v>
      </c>
      <c r="E192" s="1" t="s">
        <v>949</v>
      </c>
      <c r="F192" s="1" t="s">
        <v>52</v>
      </c>
      <c r="G192" s="1" t="s">
        <v>38</v>
      </c>
    </row>
    <row r="193" customFormat="false" ht="15" hidden="false" customHeight="false" outlineLevel="0" collapsed="false">
      <c r="A193" s="1" t="n">
        <v>39</v>
      </c>
      <c r="B193" s="1" t="s">
        <v>949</v>
      </c>
      <c r="C193" s="1" t="s">
        <v>1463</v>
      </c>
      <c r="D193" s="1" t="s">
        <v>951</v>
      </c>
      <c r="E193" s="1" t="s">
        <v>949</v>
      </c>
      <c r="F193" s="1" t="s">
        <v>52</v>
      </c>
      <c r="G193" s="1" t="s">
        <v>38</v>
      </c>
    </row>
    <row r="194" customFormat="false" ht="15" hidden="false" customHeight="false" outlineLevel="0" collapsed="false">
      <c r="A194" s="1" t="n">
        <v>39</v>
      </c>
      <c r="B194" s="1" t="s">
        <v>949</v>
      </c>
      <c r="C194" s="1" t="s">
        <v>1483</v>
      </c>
      <c r="D194" s="1" t="s">
        <v>1337</v>
      </c>
      <c r="E194" s="1" t="s">
        <v>949</v>
      </c>
      <c r="F194" s="1" t="s">
        <v>52</v>
      </c>
      <c r="G194" s="1" t="s">
        <v>38</v>
      </c>
    </row>
    <row r="195" customFormat="false" ht="15" hidden="false" customHeight="false" outlineLevel="0" collapsed="false">
      <c r="A195" s="1" t="n">
        <v>39</v>
      </c>
      <c r="B195" s="1" t="s">
        <v>949</v>
      </c>
      <c r="C195" s="1" t="s">
        <v>196</v>
      </c>
      <c r="D195" s="1" t="s">
        <v>1339</v>
      </c>
      <c r="E195" s="1" t="s">
        <v>949</v>
      </c>
      <c r="F195" s="1" t="s">
        <v>52</v>
      </c>
      <c r="G195" s="1" t="s">
        <v>38</v>
      </c>
    </row>
    <row r="196" customFormat="false" ht="15" hidden="false" customHeight="false" outlineLevel="0" collapsed="false">
      <c r="A196" s="1" t="n">
        <v>39</v>
      </c>
      <c r="B196" s="1" t="s">
        <v>949</v>
      </c>
      <c r="C196" s="1" t="s">
        <v>197</v>
      </c>
      <c r="D196" s="1" t="s">
        <v>1340</v>
      </c>
      <c r="E196" s="1" t="s">
        <v>949</v>
      </c>
      <c r="F196" s="1" t="s">
        <v>52</v>
      </c>
      <c r="G196" s="1" t="s">
        <v>38</v>
      </c>
    </row>
    <row r="197" customFormat="false" ht="15" hidden="false" customHeight="false" outlineLevel="0" collapsed="false">
      <c r="A197" s="1" t="n">
        <v>40</v>
      </c>
      <c r="B197" s="1" t="s">
        <v>952</v>
      </c>
      <c r="C197" s="1" t="s">
        <v>810</v>
      </c>
      <c r="D197" s="1" t="s">
        <v>953</v>
      </c>
      <c r="E197" s="1" t="s">
        <v>952</v>
      </c>
      <c r="F197" s="1" t="s">
        <v>52</v>
      </c>
      <c r="G197" s="1" t="s">
        <v>38</v>
      </c>
    </row>
    <row r="198" customFormat="false" ht="15" hidden="false" customHeight="false" outlineLevel="0" collapsed="false">
      <c r="A198" s="1" t="n">
        <v>40</v>
      </c>
      <c r="B198" s="1" t="s">
        <v>952</v>
      </c>
      <c r="C198" s="1" t="s">
        <v>1463</v>
      </c>
      <c r="D198" s="1" t="s">
        <v>954</v>
      </c>
      <c r="E198" s="1" t="s">
        <v>952</v>
      </c>
      <c r="F198" s="1" t="s">
        <v>52</v>
      </c>
      <c r="G198" s="1" t="s">
        <v>38</v>
      </c>
    </row>
    <row r="199" customFormat="false" ht="15" hidden="false" customHeight="false" outlineLevel="0" collapsed="false">
      <c r="A199" s="1" t="n">
        <v>40</v>
      </c>
      <c r="B199" s="1" t="s">
        <v>952</v>
      </c>
      <c r="C199" s="1" t="s">
        <v>1483</v>
      </c>
      <c r="D199" s="1" t="s">
        <v>1343</v>
      </c>
      <c r="E199" s="1" t="s">
        <v>952</v>
      </c>
      <c r="F199" s="1" t="s">
        <v>52</v>
      </c>
      <c r="G199" s="1" t="s">
        <v>38</v>
      </c>
    </row>
    <row r="200" customFormat="false" ht="15" hidden="false" customHeight="false" outlineLevel="0" collapsed="false">
      <c r="A200" s="1" t="n">
        <v>40</v>
      </c>
      <c r="B200" s="1" t="s">
        <v>952</v>
      </c>
      <c r="C200" s="1" t="s">
        <v>196</v>
      </c>
      <c r="D200" s="1" t="s">
        <v>1345</v>
      </c>
      <c r="E200" s="1" t="s">
        <v>952</v>
      </c>
      <c r="F200" s="1" t="s">
        <v>52</v>
      </c>
      <c r="G200" s="1" t="s">
        <v>38</v>
      </c>
    </row>
    <row r="201" customFormat="false" ht="15" hidden="false" customHeight="false" outlineLevel="0" collapsed="false">
      <c r="A201" s="1" t="n">
        <v>40</v>
      </c>
      <c r="B201" s="1" t="s">
        <v>952</v>
      </c>
      <c r="C201" s="1" t="s">
        <v>197</v>
      </c>
      <c r="D201" s="1" t="s">
        <v>1346</v>
      </c>
      <c r="E201" s="1" t="s">
        <v>952</v>
      </c>
      <c r="F201" s="1" t="s">
        <v>52</v>
      </c>
      <c r="G201" s="1" t="s">
        <v>38</v>
      </c>
    </row>
    <row r="202" customFormat="false" ht="15" hidden="false" customHeight="false" outlineLevel="0" collapsed="false">
      <c r="A202" s="1" t="n">
        <v>41</v>
      </c>
      <c r="B202" s="1" t="s">
        <v>956</v>
      </c>
      <c r="C202" s="1" t="s">
        <v>810</v>
      </c>
      <c r="D202" s="1" t="s">
        <v>957</v>
      </c>
      <c r="E202" s="1" t="s">
        <v>956</v>
      </c>
      <c r="F202" s="1" t="s">
        <v>61</v>
      </c>
      <c r="G202" s="1" t="s">
        <v>8</v>
      </c>
    </row>
    <row r="203" customFormat="false" ht="15" hidden="false" customHeight="false" outlineLevel="0" collapsed="false">
      <c r="A203" s="1" t="n">
        <v>41</v>
      </c>
      <c r="B203" s="1" t="s">
        <v>956</v>
      </c>
      <c r="C203" s="1" t="s">
        <v>1463</v>
      </c>
      <c r="D203" s="1" t="s">
        <v>21</v>
      </c>
      <c r="E203" s="1" t="s">
        <v>956</v>
      </c>
      <c r="F203" s="1" t="s">
        <v>61</v>
      </c>
      <c r="G203" s="1" t="s">
        <v>8</v>
      </c>
    </row>
    <row r="204" customFormat="false" ht="15" hidden="false" customHeight="false" outlineLevel="0" collapsed="false">
      <c r="A204" s="1" t="n">
        <v>41</v>
      </c>
      <c r="B204" s="1" t="s">
        <v>956</v>
      </c>
      <c r="C204" s="1" t="s">
        <v>1483</v>
      </c>
      <c r="D204" s="1" t="s">
        <v>1349</v>
      </c>
      <c r="E204" s="1" t="s">
        <v>956</v>
      </c>
      <c r="F204" s="1" t="s">
        <v>61</v>
      </c>
      <c r="G204" s="1" t="s">
        <v>8</v>
      </c>
    </row>
    <row r="205" customFormat="false" ht="15" hidden="false" customHeight="false" outlineLevel="0" collapsed="false">
      <c r="A205" s="1" t="n">
        <v>41</v>
      </c>
      <c r="B205" s="1" t="s">
        <v>956</v>
      </c>
      <c r="C205" s="1" t="s">
        <v>196</v>
      </c>
      <c r="D205" s="1" t="s">
        <v>1351</v>
      </c>
      <c r="E205" s="1" t="s">
        <v>956</v>
      </c>
      <c r="F205" s="1" t="s">
        <v>61</v>
      </c>
      <c r="G205" s="1" t="s">
        <v>8</v>
      </c>
    </row>
    <row r="206" customFormat="false" ht="15" hidden="false" customHeight="false" outlineLevel="0" collapsed="false">
      <c r="A206" s="1" t="n">
        <v>41</v>
      </c>
      <c r="B206" s="1" t="s">
        <v>956</v>
      </c>
      <c r="C206" s="1" t="s">
        <v>197</v>
      </c>
      <c r="D206" s="1" t="s">
        <v>1352</v>
      </c>
      <c r="E206" s="1" t="s">
        <v>956</v>
      </c>
      <c r="F206" s="1" t="s">
        <v>61</v>
      </c>
      <c r="G206" s="1" t="s">
        <v>8</v>
      </c>
    </row>
    <row r="207" customFormat="false" ht="15" hidden="false" customHeight="false" outlineLevel="0" collapsed="false">
      <c r="A207" s="1" t="n">
        <v>42</v>
      </c>
      <c r="B207" s="1" t="s">
        <v>959</v>
      </c>
      <c r="C207" s="1" t="s">
        <v>810</v>
      </c>
      <c r="D207" s="1" t="s">
        <v>960</v>
      </c>
      <c r="E207" s="1" t="s">
        <v>959</v>
      </c>
      <c r="F207" s="1" t="s">
        <v>61</v>
      </c>
      <c r="G207" s="1" t="s">
        <v>8</v>
      </c>
    </row>
    <row r="208" customFormat="false" ht="15" hidden="false" customHeight="false" outlineLevel="0" collapsed="false">
      <c r="A208" s="1" t="n">
        <v>42</v>
      </c>
      <c r="B208" s="1" t="s">
        <v>959</v>
      </c>
      <c r="C208" s="1" t="s">
        <v>1463</v>
      </c>
      <c r="D208" s="1" t="s">
        <v>22</v>
      </c>
      <c r="E208" s="1" t="s">
        <v>959</v>
      </c>
      <c r="F208" s="1" t="s">
        <v>61</v>
      </c>
      <c r="G208" s="1" t="s">
        <v>8</v>
      </c>
    </row>
    <row r="209" customFormat="false" ht="15" hidden="false" customHeight="false" outlineLevel="0" collapsed="false">
      <c r="A209" s="1" t="n">
        <v>42</v>
      </c>
      <c r="B209" s="1" t="s">
        <v>959</v>
      </c>
      <c r="C209" s="1" t="s">
        <v>1483</v>
      </c>
      <c r="D209" s="1" t="s">
        <v>1355</v>
      </c>
      <c r="E209" s="1" t="s">
        <v>959</v>
      </c>
      <c r="F209" s="1" t="s">
        <v>61</v>
      </c>
      <c r="G209" s="1" t="s">
        <v>8</v>
      </c>
    </row>
    <row r="210" customFormat="false" ht="15" hidden="false" customHeight="false" outlineLevel="0" collapsed="false">
      <c r="A210" s="1" t="n">
        <v>42</v>
      </c>
      <c r="B210" s="1" t="s">
        <v>959</v>
      </c>
      <c r="C210" s="1" t="s">
        <v>196</v>
      </c>
      <c r="D210" s="1" t="s">
        <v>1357</v>
      </c>
      <c r="E210" s="1" t="s">
        <v>959</v>
      </c>
      <c r="F210" s="1" t="s">
        <v>61</v>
      </c>
      <c r="G210" s="1" t="s">
        <v>8</v>
      </c>
    </row>
    <row r="211" customFormat="false" ht="15" hidden="false" customHeight="false" outlineLevel="0" collapsed="false">
      <c r="A211" s="1" t="n">
        <v>42</v>
      </c>
      <c r="B211" s="1" t="s">
        <v>959</v>
      </c>
      <c r="C211" s="1" t="s">
        <v>197</v>
      </c>
      <c r="D211" s="1" t="s">
        <v>1358</v>
      </c>
      <c r="E211" s="1" t="s">
        <v>959</v>
      </c>
      <c r="F211" s="1" t="s">
        <v>61</v>
      </c>
      <c r="G211" s="1" t="s">
        <v>8</v>
      </c>
    </row>
    <row r="212" customFormat="false" ht="15" hidden="false" customHeight="false" outlineLevel="0" collapsed="false">
      <c r="A212" s="1" t="n">
        <v>43</v>
      </c>
      <c r="B212" s="1" t="s">
        <v>962</v>
      </c>
      <c r="C212" s="1" t="s">
        <v>810</v>
      </c>
      <c r="D212" s="1" t="s">
        <v>963</v>
      </c>
      <c r="E212" s="1" t="s">
        <v>962</v>
      </c>
      <c r="F212" s="1" t="s">
        <v>61</v>
      </c>
      <c r="G212" s="1" t="s">
        <v>8</v>
      </c>
    </row>
    <row r="213" customFormat="false" ht="15" hidden="false" customHeight="false" outlineLevel="0" collapsed="false">
      <c r="A213" s="1" t="n">
        <v>43</v>
      </c>
      <c r="B213" s="1" t="s">
        <v>962</v>
      </c>
      <c r="C213" s="1" t="s">
        <v>1463</v>
      </c>
      <c r="D213" s="1" t="s">
        <v>109</v>
      </c>
      <c r="E213" s="1" t="s">
        <v>962</v>
      </c>
      <c r="F213" s="1" t="s">
        <v>61</v>
      </c>
      <c r="G213" s="1" t="s">
        <v>8</v>
      </c>
    </row>
    <row r="214" customFormat="false" ht="15" hidden="false" customHeight="false" outlineLevel="0" collapsed="false">
      <c r="A214" s="1" t="n">
        <v>43</v>
      </c>
      <c r="B214" s="1" t="s">
        <v>962</v>
      </c>
      <c r="C214" s="1" t="s">
        <v>1483</v>
      </c>
      <c r="D214" s="1" t="s">
        <v>1362</v>
      </c>
      <c r="E214" s="1" t="s">
        <v>962</v>
      </c>
      <c r="F214" s="1" t="s">
        <v>61</v>
      </c>
      <c r="G214" s="1" t="s">
        <v>8</v>
      </c>
    </row>
    <row r="215" customFormat="false" ht="15" hidden="false" customHeight="false" outlineLevel="0" collapsed="false">
      <c r="A215" s="1" t="n">
        <v>43</v>
      </c>
      <c r="B215" s="1" t="s">
        <v>962</v>
      </c>
      <c r="C215" s="1" t="s">
        <v>196</v>
      </c>
      <c r="D215" s="1" t="s">
        <v>1364</v>
      </c>
      <c r="E215" s="1" t="s">
        <v>962</v>
      </c>
      <c r="F215" s="1" t="s">
        <v>61</v>
      </c>
      <c r="G215" s="1" t="s">
        <v>8</v>
      </c>
    </row>
    <row r="216" customFormat="false" ht="15" hidden="false" customHeight="false" outlineLevel="0" collapsed="false">
      <c r="A216" s="1" t="n">
        <v>43</v>
      </c>
      <c r="B216" s="1" t="s">
        <v>962</v>
      </c>
      <c r="C216" s="1" t="s">
        <v>197</v>
      </c>
      <c r="D216" s="1" t="s">
        <v>1365</v>
      </c>
      <c r="E216" s="1" t="s">
        <v>962</v>
      </c>
      <c r="F216" s="1" t="s">
        <v>61</v>
      </c>
      <c r="G216" s="1" t="s">
        <v>8</v>
      </c>
    </row>
    <row r="217" customFormat="false" ht="15" hidden="false" customHeight="false" outlineLevel="0" collapsed="false">
      <c r="A217" s="1" t="n">
        <v>44</v>
      </c>
      <c r="B217" s="1" t="s">
        <v>965</v>
      </c>
      <c r="C217" s="1" t="s">
        <v>810</v>
      </c>
      <c r="D217" s="1" t="s">
        <v>966</v>
      </c>
      <c r="E217" s="1" t="s">
        <v>965</v>
      </c>
      <c r="F217" s="1" t="s">
        <v>61</v>
      </c>
      <c r="G217" s="1" t="s">
        <v>8</v>
      </c>
    </row>
    <row r="218" customFormat="false" ht="15" hidden="false" customHeight="false" outlineLevel="0" collapsed="false">
      <c r="A218" s="1" t="n">
        <v>44</v>
      </c>
      <c r="B218" s="1" t="s">
        <v>965</v>
      </c>
      <c r="C218" s="1" t="s">
        <v>1463</v>
      </c>
      <c r="D218" s="1" t="s">
        <v>22</v>
      </c>
      <c r="E218" s="1" t="s">
        <v>965</v>
      </c>
      <c r="F218" s="1" t="s">
        <v>61</v>
      </c>
      <c r="G218" s="1" t="s">
        <v>8</v>
      </c>
    </row>
    <row r="219" customFormat="false" ht="15" hidden="false" customHeight="false" outlineLevel="0" collapsed="false">
      <c r="A219" s="1" t="n">
        <v>44</v>
      </c>
      <c r="B219" s="1" t="s">
        <v>965</v>
      </c>
      <c r="C219" s="1" t="s">
        <v>1483</v>
      </c>
      <c r="D219" s="1" t="s">
        <v>1369</v>
      </c>
      <c r="E219" s="1" t="s">
        <v>965</v>
      </c>
      <c r="F219" s="1" t="s">
        <v>61</v>
      </c>
      <c r="G219" s="1" t="s">
        <v>8</v>
      </c>
    </row>
    <row r="220" customFormat="false" ht="15" hidden="false" customHeight="false" outlineLevel="0" collapsed="false">
      <c r="A220" s="1" t="n">
        <v>44</v>
      </c>
      <c r="B220" s="1" t="s">
        <v>965</v>
      </c>
      <c r="C220" s="1" t="s">
        <v>196</v>
      </c>
      <c r="D220" s="1" t="s">
        <v>1371</v>
      </c>
      <c r="E220" s="1" t="s">
        <v>965</v>
      </c>
      <c r="F220" s="1" t="s">
        <v>61</v>
      </c>
      <c r="G220" s="1" t="s">
        <v>8</v>
      </c>
    </row>
    <row r="221" customFormat="false" ht="15" hidden="false" customHeight="false" outlineLevel="0" collapsed="false">
      <c r="A221" s="1" t="n">
        <v>44</v>
      </c>
      <c r="B221" s="1" t="s">
        <v>965</v>
      </c>
      <c r="C221" s="1" t="s">
        <v>197</v>
      </c>
      <c r="D221" s="1" t="s">
        <v>1372</v>
      </c>
      <c r="E221" s="1" t="s">
        <v>965</v>
      </c>
      <c r="F221" s="1" t="s">
        <v>61</v>
      </c>
      <c r="G221" s="1" t="s">
        <v>8</v>
      </c>
    </row>
    <row r="222" customFormat="false" ht="15" hidden="false" customHeight="false" outlineLevel="0" collapsed="false">
      <c r="A222" s="1" t="n">
        <v>45</v>
      </c>
      <c r="B222" s="1" t="s">
        <v>968</v>
      </c>
      <c r="C222" s="1" t="s">
        <v>810</v>
      </c>
      <c r="D222" s="1" t="s">
        <v>14</v>
      </c>
      <c r="E222" s="1" t="s">
        <v>968</v>
      </c>
      <c r="F222" s="1" t="s">
        <v>61</v>
      </c>
      <c r="G222" s="1" t="s">
        <v>8</v>
      </c>
    </row>
    <row r="223" customFormat="false" ht="15" hidden="false" customHeight="false" outlineLevel="0" collapsed="false">
      <c r="A223" s="1" t="n">
        <v>45</v>
      </c>
      <c r="B223" s="1" t="s">
        <v>968</v>
      </c>
      <c r="C223" s="1" t="s">
        <v>1463</v>
      </c>
      <c r="D223" s="1" t="s">
        <v>22</v>
      </c>
      <c r="E223" s="1" t="s">
        <v>968</v>
      </c>
      <c r="F223" s="1" t="s">
        <v>61</v>
      </c>
      <c r="G223" s="1" t="s">
        <v>8</v>
      </c>
    </row>
    <row r="224" customFormat="false" ht="15" hidden="false" customHeight="false" outlineLevel="0" collapsed="false">
      <c r="A224" s="1" t="n">
        <v>45</v>
      </c>
      <c r="B224" s="1" t="s">
        <v>968</v>
      </c>
      <c r="C224" s="1" t="s">
        <v>1483</v>
      </c>
      <c r="D224" s="1" t="s">
        <v>1375</v>
      </c>
      <c r="E224" s="1" t="s">
        <v>968</v>
      </c>
      <c r="F224" s="1" t="s">
        <v>61</v>
      </c>
      <c r="G224" s="1" t="s">
        <v>8</v>
      </c>
    </row>
    <row r="225" customFormat="false" ht="15" hidden="false" customHeight="false" outlineLevel="0" collapsed="false">
      <c r="A225" s="1" t="n">
        <v>45</v>
      </c>
      <c r="B225" s="1" t="s">
        <v>968</v>
      </c>
      <c r="C225" s="1" t="s">
        <v>196</v>
      </c>
      <c r="D225" s="1" t="s">
        <v>1377</v>
      </c>
      <c r="E225" s="1" t="s">
        <v>968</v>
      </c>
      <c r="F225" s="1" t="s">
        <v>61</v>
      </c>
      <c r="G225" s="1" t="s">
        <v>8</v>
      </c>
    </row>
    <row r="226" customFormat="false" ht="15" hidden="false" customHeight="false" outlineLevel="0" collapsed="false">
      <c r="A226" s="1" t="n">
        <v>45</v>
      </c>
      <c r="B226" s="1" t="s">
        <v>968</v>
      </c>
      <c r="C226" s="1" t="s">
        <v>197</v>
      </c>
      <c r="D226" s="1" t="s">
        <v>1378</v>
      </c>
      <c r="E226" s="1" t="s">
        <v>968</v>
      </c>
      <c r="F226" s="1" t="s">
        <v>61</v>
      </c>
      <c r="G226" s="1" t="s">
        <v>8</v>
      </c>
    </row>
    <row r="227" customFormat="false" ht="15" hidden="false" customHeight="false" outlineLevel="0" collapsed="false">
      <c r="A227" s="1" t="n">
        <v>46</v>
      </c>
      <c r="B227" s="1" t="s">
        <v>970</v>
      </c>
      <c r="C227" s="1" t="s">
        <v>810</v>
      </c>
      <c r="D227" s="1" t="s">
        <v>971</v>
      </c>
      <c r="E227" s="1" t="s">
        <v>970</v>
      </c>
      <c r="F227" s="1" t="s">
        <v>61</v>
      </c>
      <c r="G227" s="1" t="s">
        <v>8</v>
      </c>
    </row>
    <row r="228" customFormat="false" ht="15" hidden="false" customHeight="false" outlineLevel="0" collapsed="false">
      <c r="A228" s="1" t="n">
        <v>46</v>
      </c>
      <c r="B228" s="1" t="s">
        <v>970</v>
      </c>
      <c r="C228" s="1" t="s">
        <v>1463</v>
      </c>
      <c r="D228" s="1" t="s">
        <v>67</v>
      </c>
      <c r="E228" s="1" t="s">
        <v>970</v>
      </c>
      <c r="F228" s="1" t="s">
        <v>61</v>
      </c>
      <c r="G228" s="1" t="s">
        <v>8</v>
      </c>
    </row>
    <row r="229" customFormat="false" ht="15" hidden="false" customHeight="false" outlineLevel="0" collapsed="false">
      <c r="A229" s="1" t="n">
        <v>46</v>
      </c>
      <c r="B229" s="1" t="s">
        <v>970</v>
      </c>
      <c r="C229" s="1" t="s">
        <v>1483</v>
      </c>
      <c r="D229" s="1" t="s">
        <v>1381</v>
      </c>
      <c r="E229" s="1" t="s">
        <v>970</v>
      </c>
      <c r="F229" s="1" t="s">
        <v>61</v>
      </c>
      <c r="G229" s="1" t="s">
        <v>8</v>
      </c>
    </row>
    <row r="230" customFormat="false" ht="15" hidden="false" customHeight="false" outlineLevel="0" collapsed="false">
      <c r="A230" s="1" t="n">
        <v>46</v>
      </c>
      <c r="B230" s="1" t="s">
        <v>970</v>
      </c>
      <c r="C230" s="1" t="s">
        <v>196</v>
      </c>
      <c r="D230" s="1" t="s">
        <v>1383</v>
      </c>
      <c r="E230" s="1" t="s">
        <v>970</v>
      </c>
      <c r="F230" s="1" t="s">
        <v>61</v>
      </c>
      <c r="G230" s="1" t="s">
        <v>8</v>
      </c>
    </row>
    <row r="231" customFormat="false" ht="15" hidden="false" customHeight="false" outlineLevel="0" collapsed="false">
      <c r="A231" s="1" t="n">
        <v>46</v>
      </c>
      <c r="B231" s="1" t="s">
        <v>970</v>
      </c>
      <c r="C231" s="1" t="s">
        <v>197</v>
      </c>
      <c r="D231" s="1" t="s">
        <v>1384</v>
      </c>
      <c r="E231" s="1" t="s">
        <v>970</v>
      </c>
      <c r="F231" s="1" t="s">
        <v>61</v>
      </c>
      <c r="G231" s="1" t="s">
        <v>8</v>
      </c>
    </row>
    <row r="232" customFormat="false" ht="15" hidden="false" customHeight="false" outlineLevel="0" collapsed="false">
      <c r="A232" s="1" t="n">
        <v>47</v>
      </c>
      <c r="B232" s="1" t="s">
        <v>973</v>
      </c>
      <c r="C232" s="1" t="s">
        <v>810</v>
      </c>
      <c r="D232" s="1" t="s">
        <v>974</v>
      </c>
      <c r="E232" s="1" t="s">
        <v>973</v>
      </c>
      <c r="F232" s="1" t="s">
        <v>52</v>
      </c>
      <c r="G232" s="1" t="s">
        <v>38</v>
      </c>
    </row>
    <row r="233" customFormat="false" ht="15" hidden="false" customHeight="false" outlineLevel="0" collapsed="false">
      <c r="A233" s="1" t="n">
        <v>47</v>
      </c>
      <c r="B233" s="1" t="s">
        <v>973</v>
      </c>
      <c r="C233" s="1" t="s">
        <v>1463</v>
      </c>
      <c r="D233" s="1" t="s">
        <v>975</v>
      </c>
      <c r="E233" s="1" t="s">
        <v>973</v>
      </c>
      <c r="F233" s="1" t="s">
        <v>52</v>
      </c>
      <c r="G233" s="1" t="s">
        <v>38</v>
      </c>
    </row>
    <row r="234" customFormat="false" ht="15" hidden="false" customHeight="false" outlineLevel="0" collapsed="false">
      <c r="A234" s="1" t="n">
        <v>47</v>
      </c>
      <c r="B234" s="1" t="s">
        <v>973</v>
      </c>
      <c r="C234" s="1" t="s">
        <v>1483</v>
      </c>
      <c r="D234" s="1" t="s">
        <v>1387</v>
      </c>
      <c r="E234" s="1" t="s">
        <v>973</v>
      </c>
      <c r="F234" s="1" t="s">
        <v>52</v>
      </c>
      <c r="G234" s="1" t="s">
        <v>38</v>
      </c>
    </row>
    <row r="235" customFormat="false" ht="15" hidden="false" customHeight="false" outlineLevel="0" collapsed="false">
      <c r="A235" s="1" t="n">
        <v>47</v>
      </c>
      <c r="B235" s="1" t="s">
        <v>973</v>
      </c>
      <c r="C235" s="1" t="s">
        <v>196</v>
      </c>
      <c r="D235" s="1" t="s">
        <v>1389</v>
      </c>
      <c r="E235" s="1" t="s">
        <v>973</v>
      </c>
      <c r="F235" s="1" t="s">
        <v>52</v>
      </c>
      <c r="G235" s="1" t="s">
        <v>38</v>
      </c>
    </row>
    <row r="236" customFormat="false" ht="15" hidden="false" customHeight="false" outlineLevel="0" collapsed="false">
      <c r="A236" s="1" t="n">
        <v>47</v>
      </c>
      <c r="B236" s="1" t="s">
        <v>973</v>
      </c>
      <c r="C236" s="1" t="s">
        <v>197</v>
      </c>
      <c r="D236" s="1" t="s">
        <v>1390</v>
      </c>
      <c r="E236" s="1" t="s">
        <v>973</v>
      </c>
      <c r="F236" s="1" t="s">
        <v>52</v>
      </c>
      <c r="G236" s="1" t="s">
        <v>38</v>
      </c>
    </row>
    <row r="237" customFormat="false" ht="15" hidden="false" customHeight="false" outlineLevel="0" collapsed="false">
      <c r="A237" s="1" t="n">
        <v>48</v>
      </c>
      <c r="B237" s="1" t="s">
        <v>976</v>
      </c>
      <c r="C237" s="1" t="s">
        <v>810</v>
      </c>
      <c r="D237" s="1" t="s">
        <v>977</v>
      </c>
      <c r="E237" s="1" t="s">
        <v>976</v>
      </c>
      <c r="F237" s="1" t="s">
        <v>52</v>
      </c>
      <c r="G237" s="1" t="s">
        <v>38</v>
      </c>
    </row>
    <row r="238" customFormat="false" ht="15" hidden="false" customHeight="false" outlineLevel="0" collapsed="false">
      <c r="A238" s="1" t="n">
        <v>48</v>
      </c>
      <c r="B238" s="1" t="s">
        <v>976</v>
      </c>
      <c r="C238" s="1" t="s">
        <v>1463</v>
      </c>
      <c r="D238" s="1" t="s">
        <v>975</v>
      </c>
      <c r="E238" s="1" t="s">
        <v>976</v>
      </c>
      <c r="F238" s="1" t="s">
        <v>52</v>
      </c>
      <c r="G238" s="1" t="s">
        <v>38</v>
      </c>
    </row>
    <row r="239" customFormat="false" ht="15" hidden="false" customHeight="false" outlineLevel="0" collapsed="false">
      <c r="A239" s="1" t="n">
        <v>48</v>
      </c>
      <c r="B239" s="1" t="s">
        <v>976</v>
      </c>
      <c r="C239" s="1" t="s">
        <v>1483</v>
      </c>
      <c r="D239" s="1" t="s">
        <v>1393</v>
      </c>
      <c r="E239" s="1" t="s">
        <v>976</v>
      </c>
      <c r="F239" s="1" t="s">
        <v>52</v>
      </c>
      <c r="G239" s="1" t="s">
        <v>38</v>
      </c>
    </row>
    <row r="240" customFormat="false" ht="15" hidden="false" customHeight="false" outlineLevel="0" collapsed="false">
      <c r="A240" s="1" t="n">
        <v>48</v>
      </c>
      <c r="B240" s="1" t="s">
        <v>976</v>
      </c>
      <c r="C240" s="1" t="s">
        <v>196</v>
      </c>
      <c r="D240" s="1" t="s">
        <v>1395</v>
      </c>
      <c r="E240" s="1" t="s">
        <v>976</v>
      </c>
      <c r="F240" s="1" t="s">
        <v>52</v>
      </c>
      <c r="G240" s="1" t="s">
        <v>38</v>
      </c>
    </row>
    <row r="241" customFormat="false" ht="15" hidden="false" customHeight="false" outlineLevel="0" collapsed="false">
      <c r="A241" s="1" t="n">
        <v>48</v>
      </c>
      <c r="B241" s="1" t="s">
        <v>976</v>
      </c>
      <c r="C241" s="1" t="s">
        <v>197</v>
      </c>
      <c r="D241" s="1" t="s">
        <v>1396</v>
      </c>
      <c r="E241" s="1" t="s">
        <v>976</v>
      </c>
      <c r="F241" s="1" t="s">
        <v>52</v>
      </c>
      <c r="G241" s="1" t="s">
        <v>38</v>
      </c>
    </row>
    <row r="242" customFormat="false" ht="15" hidden="false" customHeight="false" outlineLevel="0" collapsed="false">
      <c r="A242" s="1" t="n">
        <v>49</v>
      </c>
      <c r="B242" s="1" t="s">
        <v>979</v>
      </c>
      <c r="C242" s="1" t="s">
        <v>810</v>
      </c>
      <c r="D242" s="1" t="s">
        <v>980</v>
      </c>
      <c r="E242" s="1" t="s">
        <v>979</v>
      </c>
      <c r="F242" s="1" t="s">
        <v>52</v>
      </c>
      <c r="G242" s="1" t="s">
        <v>38</v>
      </c>
    </row>
    <row r="243" customFormat="false" ht="15" hidden="false" customHeight="false" outlineLevel="0" collapsed="false">
      <c r="A243" s="1" t="n">
        <v>49</v>
      </c>
      <c r="B243" s="1" t="s">
        <v>979</v>
      </c>
      <c r="C243" s="1" t="s">
        <v>1463</v>
      </c>
      <c r="D243" s="1" t="s">
        <v>20</v>
      </c>
      <c r="E243" s="1" t="s">
        <v>979</v>
      </c>
      <c r="F243" s="1" t="s">
        <v>52</v>
      </c>
      <c r="G243" s="1" t="s">
        <v>38</v>
      </c>
    </row>
    <row r="244" customFormat="false" ht="15" hidden="false" customHeight="false" outlineLevel="0" collapsed="false">
      <c r="A244" s="1" t="n">
        <v>49</v>
      </c>
      <c r="B244" s="1" t="s">
        <v>979</v>
      </c>
      <c r="C244" s="1" t="s">
        <v>1483</v>
      </c>
      <c r="D244" s="1" t="s">
        <v>1399</v>
      </c>
      <c r="E244" s="1" t="s">
        <v>979</v>
      </c>
      <c r="F244" s="1" t="s">
        <v>52</v>
      </c>
      <c r="G244" s="1" t="s">
        <v>38</v>
      </c>
    </row>
    <row r="245" customFormat="false" ht="15" hidden="false" customHeight="false" outlineLevel="0" collapsed="false">
      <c r="A245" s="1" t="n">
        <v>49</v>
      </c>
      <c r="B245" s="1" t="s">
        <v>979</v>
      </c>
      <c r="C245" s="1" t="s">
        <v>196</v>
      </c>
      <c r="D245" s="1" t="s">
        <v>1401</v>
      </c>
      <c r="E245" s="1" t="s">
        <v>979</v>
      </c>
      <c r="F245" s="1" t="s">
        <v>52</v>
      </c>
      <c r="G245" s="1" t="s">
        <v>38</v>
      </c>
    </row>
    <row r="246" customFormat="false" ht="15" hidden="false" customHeight="false" outlineLevel="0" collapsed="false">
      <c r="A246" s="1" t="n">
        <v>49</v>
      </c>
      <c r="B246" s="1" t="s">
        <v>979</v>
      </c>
      <c r="C246" s="1" t="s">
        <v>197</v>
      </c>
      <c r="D246" s="1" t="s">
        <v>1402</v>
      </c>
      <c r="E246" s="1" t="s">
        <v>979</v>
      </c>
      <c r="F246" s="1" t="s">
        <v>52</v>
      </c>
      <c r="G246" s="1" t="s">
        <v>38</v>
      </c>
    </row>
    <row r="247" customFormat="false" ht="15" hidden="false" customHeight="false" outlineLevel="0" collapsed="false">
      <c r="A247" s="1" t="n">
        <v>50</v>
      </c>
      <c r="B247" s="1" t="s">
        <v>981</v>
      </c>
      <c r="C247" s="1" t="s">
        <v>810</v>
      </c>
      <c r="D247" s="1" t="s">
        <v>982</v>
      </c>
      <c r="E247" s="1" t="s">
        <v>981</v>
      </c>
      <c r="F247" s="1" t="s">
        <v>61</v>
      </c>
      <c r="G247" s="1" t="s">
        <v>8</v>
      </c>
    </row>
    <row r="248" customFormat="false" ht="15" hidden="false" customHeight="false" outlineLevel="0" collapsed="false">
      <c r="A248" s="1" t="n">
        <v>50</v>
      </c>
      <c r="B248" s="1" t="s">
        <v>981</v>
      </c>
      <c r="C248" s="1" t="s">
        <v>1463</v>
      </c>
      <c r="D248" s="1" t="s">
        <v>67</v>
      </c>
      <c r="E248" s="1" t="s">
        <v>981</v>
      </c>
      <c r="F248" s="1" t="s">
        <v>61</v>
      </c>
      <c r="G248" s="1" t="s">
        <v>8</v>
      </c>
    </row>
    <row r="249" customFormat="false" ht="15" hidden="false" customHeight="false" outlineLevel="0" collapsed="false">
      <c r="A249" s="1" t="n">
        <v>50</v>
      </c>
      <c r="B249" s="1" t="s">
        <v>981</v>
      </c>
      <c r="C249" s="1" t="s">
        <v>1483</v>
      </c>
      <c r="D249" s="1" t="s">
        <v>1405</v>
      </c>
      <c r="E249" s="1" t="s">
        <v>981</v>
      </c>
      <c r="F249" s="1" t="s">
        <v>61</v>
      </c>
      <c r="G249" s="1" t="s">
        <v>8</v>
      </c>
    </row>
    <row r="250" customFormat="false" ht="15" hidden="false" customHeight="false" outlineLevel="0" collapsed="false">
      <c r="A250" s="1" t="n">
        <v>50</v>
      </c>
      <c r="B250" s="1" t="s">
        <v>981</v>
      </c>
      <c r="C250" s="1" t="s">
        <v>196</v>
      </c>
      <c r="D250" s="1" t="s">
        <v>1407</v>
      </c>
      <c r="E250" s="1" t="s">
        <v>981</v>
      </c>
      <c r="F250" s="1" t="s">
        <v>61</v>
      </c>
      <c r="G250" s="1" t="s">
        <v>8</v>
      </c>
    </row>
    <row r="251" customFormat="false" ht="15" hidden="false" customHeight="false" outlineLevel="0" collapsed="false">
      <c r="A251" s="1" t="n">
        <v>50</v>
      </c>
      <c r="B251" s="1" t="s">
        <v>981</v>
      </c>
      <c r="C251" s="1" t="s">
        <v>197</v>
      </c>
      <c r="D251" s="1" t="s">
        <v>1408</v>
      </c>
      <c r="E251" s="1" t="s">
        <v>981</v>
      </c>
      <c r="F251" s="1" t="s">
        <v>61</v>
      </c>
      <c r="G251" s="1" t="s">
        <v>8</v>
      </c>
    </row>
    <row r="252" customFormat="false" ht="15" hidden="false" customHeight="false" outlineLevel="0" collapsed="false">
      <c r="A252" s="1" t="n">
        <v>51</v>
      </c>
      <c r="B252" s="1" t="s">
        <v>983</v>
      </c>
      <c r="C252" s="1" t="s">
        <v>810</v>
      </c>
      <c r="D252" s="1" t="s">
        <v>984</v>
      </c>
      <c r="E252" s="1" t="s">
        <v>983</v>
      </c>
      <c r="F252" s="1" t="s">
        <v>52</v>
      </c>
      <c r="G252" s="1" t="s">
        <v>38</v>
      </c>
    </row>
    <row r="253" customFormat="false" ht="15" hidden="false" customHeight="false" outlineLevel="0" collapsed="false">
      <c r="A253" s="1" t="n">
        <v>51</v>
      </c>
      <c r="B253" s="1" t="s">
        <v>983</v>
      </c>
      <c r="C253" s="1" t="s">
        <v>1463</v>
      </c>
      <c r="D253" s="1" t="s">
        <v>985</v>
      </c>
      <c r="E253" s="1" t="s">
        <v>983</v>
      </c>
      <c r="F253" s="1" t="s">
        <v>52</v>
      </c>
      <c r="G253" s="1" t="s">
        <v>38</v>
      </c>
    </row>
    <row r="254" customFormat="false" ht="15" hidden="false" customHeight="false" outlineLevel="0" collapsed="false">
      <c r="A254" s="1" t="n">
        <v>51</v>
      </c>
      <c r="B254" s="1" t="s">
        <v>983</v>
      </c>
      <c r="C254" s="1" t="s">
        <v>1483</v>
      </c>
      <c r="D254" s="1" t="s">
        <v>1411</v>
      </c>
      <c r="E254" s="1" t="s">
        <v>983</v>
      </c>
      <c r="F254" s="1" t="s">
        <v>52</v>
      </c>
      <c r="G254" s="1" t="s">
        <v>38</v>
      </c>
    </row>
    <row r="255" customFormat="false" ht="15" hidden="false" customHeight="false" outlineLevel="0" collapsed="false">
      <c r="A255" s="1" t="n">
        <v>51</v>
      </c>
      <c r="B255" s="1" t="s">
        <v>983</v>
      </c>
      <c r="C255" s="1" t="s">
        <v>196</v>
      </c>
      <c r="D255" s="1" t="s">
        <v>1413</v>
      </c>
      <c r="E255" s="1" t="s">
        <v>983</v>
      </c>
      <c r="F255" s="1" t="s">
        <v>52</v>
      </c>
      <c r="G255" s="1" t="s">
        <v>38</v>
      </c>
    </row>
    <row r="256" customFormat="false" ht="15" hidden="false" customHeight="false" outlineLevel="0" collapsed="false">
      <c r="A256" s="1" t="n">
        <v>51</v>
      </c>
      <c r="B256" s="1" t="s">
        <v>983</v>
      </c>
      <c r="C256" s="1" t="s">
        <v>197</v>
      </c>
      <c r="D256" s="1" t="s">
        <v>1414</v>
      </c>
      <c r="E256" s="1" t="s">
        <v>983</v>
      </c>
      <c r="F256" s="1" t="s">
        <v>52</v>
      </c>
      <c r="G256" s="1" t="s">
        <v>38</v>
      </c>
    </row>
    <row r="257" customFormat="false" ht="15" hidden="false" customHeight="false" outlineLevel="0" collapsed="false">
      <c r="A257" s="1" t="n">
        <v>52</v>
      </c>
      <c r="B257" s="1" t="s">
        <v>986</v>
      </c>
      <c r="C257" s="1" t="s">
        <v>810</v>
      </c>
      <c r="D257" s="1" t="s">
        <v>987</v>
      </c>
      <c r="E257" s="1" t="s">
        <v>986</v>
      </c>
      <c r="F257" s="1" t="s">
        <v>52</v>
      </c>
      <c r="G257" s="1" t="s">
        <v>38</v>
      </c>
    </row>
    <row r="258" customFormat="false" ht="15" hidden="false" customHeight="false" outlineLevel="0" collapsed="false">
      <c r="A258" s="1" t="n">
        <v>52</v>
      </c>
      <c r="B258" s="1" t="s">
        <v>986</v>
      </c>
      <c r="C258" s="1" t="s">
        <v>1463</v>
      </c>
      <c r="D258" s="1" t="s">
        <v>988</v>
      </c>
      <c r="E258" s="1" t="s">
        <v>986</v>
      </c>
      <c r="F258" s="1" t="s">
        <v>52</v>
      </c>
      <c r="G258" s="1" t="s">
        <v>38</v>
      </c>
    </row>
    <row r="259" customFormat="false" ht="15" hidden="false" customHeight="false" outlineLevel="0" collapsed="false">
      <c r="A259" s="1" t="n">
        <v>52</v>
      </c>
      <c r="B259" s="1" t="s">
        <v>986</v>
      </c>
      <c r="C259" s="1" t="s">
        <v>1483</v>
      </c>
      <c r="D259" s="1" t="s">
        <v>1417</v>
      </c>
      <c r="E259" s="1" t="s">
        <v>986</v>
      </c>
      <c r="F259" s="1" t="s">
        <v>52</v>
      </c>
      <c r="G259" s="1" t="s">
        <v>38</v>
      </c>
    </row>
    <row r="260" customFormat="false" ht="15" hidden="false" customHeight="false" outlineLevel="0" collapsed="false">
      <c r="A260" s="1" t="n">
        <v>52</v>
      </c>
      <c r="B260" s="1" t="s">
        <v>986</v>
      </c>
      <c r="C260" s="1" t="s">
        <v>196</v>
      </c>
      <c r="D260" s="1" t="s">
        <v>1419</v>
      </c>
      <c r="E260" s="1" t="s">
        <v>986</v>
      </c>
      <c r="F260" s="1" t="s">
        <v>52</v>
      </c>
      <c r="G260" s="1" t="s">
        <v>38</v>
      </c>
    </row>
    <row r="261" customFormat="false" ht="15" hidden="false" customHeight="false" outlineLevel="0" collapsed="false">
      <c r="A261" s="1" t="n">
        <v>52</v>
      </c>
      <c r="B261" s="1" t="s">
        <v>986</v>
      </c>
      <c r="C261" s="1" t="s">
        <v>197</v>
      </c>
      <c r="D261" s="1" t="s">
        <v>1420</v>
      </c>
      <c r="E261" s="1" t="s">
        <v>986</v>
      </c>
      <c r="F261" s="1" t="s">
        <v>52</v>
      </c>
      <c r="G261" s="1" t="s">
        <v>38</v>
      </c>
    </row>
    <row r="262" customFormat="false" ht="15" hidden="false" customHeight="false" outlineLevel="0" collapsed="false">
      <c r="A262" s="1" t="n">
        <v>53</v>
      </c>
      <c r="B262" s="1" t="s">
        <v>990</v>
      </c>
      <c r="C262" s="1" t="s">
        <v>810</v>
      </c>
      <c r="D262" s="1" t="s">
        <v>991</v>
      </c>
      <c r="E262" s="1" t="s">
        <v>990</v>
      </c>
      <c r="F262" s="1" t="s">
        <v>61</v>
      </c>
      <c r="G262" s="1" t="s">
        <v>8</v>
      </c>
    </row>
    <row r="263" customFormat="false" ht="15" hidden="false" customHeight="false" outlineLevel="0" collapsed="false">
      <c r="A263" s="1" t="n">
        <v>53</v>
      </c>
      <c r="B263" s="1" t="s">
        <v>990</v>
      </c>
      <c r="C263" s="1" t="s">
        <v>1463</v>
      </c>
      <c r="D263" s="1" t="s">
        <v>20</v>
      </c>
      <c r="E263" s="1" t="s">
        <v>990</v>
      </c>
      <c r="F263" s="1" t="s">
        <v>61</v>
      </c>
      <c r="G263" s="1" t="s">
        <v>8</v>
      </c>
    </row>
    <row r="264" customFormat="false" ht="15" hidden="false" customHeight="false" outlineLevel="0" collapsed="false">
      <c r="A264" s="1" t="n">
        <v>53</v>
      </c>
      <c r="B264" s="1" t="s">
        <v>990</v>
      </c>
      <c r="C264" s="1" t="s">
        <v>1483</v>
      </c>
      <c r="D264" s="1" t="s">
        <v>1423</v>
      </c>
      <c r="E264" s="1" t="s">
        <v>990</v>
      </c>
      <c r="F264" s="1" t="s">
        <v>61</v>
      </c>
      <c r="G264" s="1" t="s">
        <v>8</v>
      </c>
    </row>
    <row r="265" customFormat="false" ht="15" hidden="false" customHeight="false" outlineLevel="0" collapsed="false">
      <c r="A265" s="1" t="n">
        <v>53</v>
      </c>
      <c r="B265" s="1" t="s">
        <v>990</v>
      </c>
      <c r="C265" s="1" t="s">
        <v>196</v>
      </c>
      <c r="D265" s="1" t="s">
        <v>1425</v>
      </c>
      <c r="E265" s="1" t="s">
        <v>990</v>
      </c>
      <c r="F265" s="1" t="s">
        <v>61</v>
      </c>
      <c r="G265" s="1" t="s">
        <v>8</v>
      </c>
    </row>
    <row r="266" customFormat="false" ht="15" hidden="false" customHeight="false" outlineLevel="0" collapsed="false">
      <c r="A266" s="1" t="n">
        <v>53</v>
      </c>
      <c r="B266" s="1" t="s">
        <v>990</v>
      </c>
      <c r="C266" s="1" t="s">
        <v>197</v>
      </c>
      <c r="D266" s="1" t="s">
        <v>1426</v>
      </c>
      <c r="E266" s="1" t="s">
        <v>990</v>
      </c>
      <c r="F266" s="1" t="s">
        <v>61</v>
      </c>
      <c r="G266" s="1" t="s">
        <v>8</v>
      </c>
    </row>
    <row r="267" customFormat="false" ht="15" hidden="false" customHeight="false" outlineLevel="0" collapsed="false">
      <c r="A267" s="1" t="n">
        <v>54</v>
      </c>
      <c r="B267" s="1" t="s">
        <v>993</v>
      </c>
      <c r="C267" s="1" t="s">
        <v>810</v>
      </c>
      <c r="D267" s="1" t="s">
        <v>994</v>
      </c>
      <c r="E267" s="1" t="s">
        <v>993</v>
      </c>
      <c r="F267" s="1" t="s">
        <v>61</v>
      </c>
      <c r="G267" s="1" t="s">
        <v>8</v>
      </c>
    </row>
    <row r="268" customFormat="false" ht="15" hidden="false" customHeight="false" outlineLevel="0" collapsed="false">
      <c r="A268" s="1" t="n">
        <v>54</v>
      </c>
      <c r="B268" s="1" t="s">
        <v>993</v>
      </c>
      <c r="C268" s="1" t="s">
        <v>1463</v>
      </c>
      <c r="D268" s="1" t="s">
        <v>926</v>
      </c>
      <c r="E268" s="1" t="s">
        <v>993</v>
      </c>
      <c r="F268" s="1" t="s">
        <v>61</v>
      </c>
      <c r="G268" s="1" t="s">
        <v>8</v>
      </c>
    </row>
    <row r="269" customFormat="false" ht="15" hidden="false" customHeight="false" outlineLevel="0" collapsed="false">
      <c r="A269" s="1" t="n">
        <v>54</v>
      </c>
      <c r="B269" s="1" t="s">
        <v>993</v>
      </c>
      <c r="C269" s="1" t="s">
        <v>1483</v>
      </c>
      <c r="D269" s="1" t="s">
        <v>1429</v>
      </c>
      <c r="E269" s="1" t="s">
        <v>993</v>
      </c>
      <c r="F269" s="1" t="s">
        <v>61</v>
      </c>
      <c r="G269" s="1" t="s">
        <v>8</v>
      </c>
    </row>
    <row r="270" customFormat="false" ht="15" hidden="false" customHeight="false" outlineLevel="0" collapsed="false">
      <c r="A270" s="1" t="n">
        <v>54</v>
      </c>
      <c r="B270" s="1" t="s">
        <v>993</v>
      </c>
      <c r="C270" s="1" t="s">
        <v>196</v>
      </c>
      <c r="D270" s="1" t="s">
        <v>1431</v>
      </c>
      <c r="E270" s="1" t="s">
        <v>993</v>
      </c>
      <c r="F270" s="1" t="s">
        <v>61</v>
      </c>
      <c r="G270" s="1" t="s">
        <v>8</v>
      </c>
    </row>
    <row r="271" customFormat="false" ht="15" hidden="false" customHeight="false" outlineLevel="0" collapsed="false">
      <c r="A271" s="1" t="n">
        <v>54</v>
      </c>
      <c r="B271" s="1" t="s">
        <v>993</v>
      </c>
      <c r="C271" s="1" t="s">
        <v>197</v>
      </c>
      <c r="D271" s="1" t="s">
        <v>1432</v>
      </c>
      <c r="E271" s="1" t="s">
        <v>993</v>
      </c>
      <c r="F271" s="1" t="s">
        <v>61</v>
      </c>
      <c r="G271" s="1" t="s">
        <v>8</v>
      </c>
    </row>
    <row r="272" customFormat="false" ht="15" hidden="false" customHeight="false" outlineLevel="0" collapsed="false">
      <c r="A272" s="1" t="n">
        <v>55</v>
      </c>
      <c r="B272" s="1" t="s">
        <v>996</v>
      </c>
      <c r="C272" s="1" t="s">
        <v>810</v>
      </c>
      <c r="D272" s="1" t="s">
        <v>997</v>
      </c>
      <c r="E272" s="1" t="s">
        <v>996</v>
      </c>
      <c r="F272" s="1" t="s">
        <v>61</v>
      </c>
      <c r="G272" s="1" t="s">
        <v>8</v>
      </c>
    </row>
    <row r="273" customFormat="false" ht="15" hidden="false" customHeight="false" outlineLevel="0" collapsed="false">
      <c r="A273" s="1" t="n">
        <v>55</v>
      </c>
      <c r="B273" s="1" t="s">
        <v>996</v>
      </c>
      <c r="C273" s="1" t="s">
        <v>1463</v>
      </c>
      <c r="D273" s="1" t="s">
        <v>67</v>
      </c>
      <c r="E273" s="1" t="s">
        <v>996</v>
      </c>
      <c r="F273" s="1" t="s">
        <v>61</v>
      </c>
      <c r="G273" s="1" t="s">
        <v>8</v>
      </c>
    </row>
    <row r="274" customFormat="false" ht="15" hidden="false" customHeight="false" outlineLevel="0" collapsed="false">
      <c r="A274" s="1" t="n">
        <v>55</v>
      </c>
      <c r="B274" s="1" t="s">
        <v>996</v>
      </c>
      <c r="C274" s="1" t="s">
        <v>1483</v>
      </c>
      <c r="D274" s="1" t="s">
        <v>1435</v>
      </c>
      <c r="E274" s="1" t="s">
        <v>996</v>
      </c>
      <c r="F274" s="1" t="s">
        <v>61</v>
      </c>
      <c r="G274" s="1" t="s">
        <v>8</v>
      </c>
    </row>
    <row r="275" customFormat="false" ht="15" hidden="false" customHeight="false" outlineLevel="0" collapsed="false">
      <c r="A275" s="1" t="n">
        <v>55</v>
      </c>
      <c r="B275" s="1" t="s">
        <v>996</v>
      </c>
      <c r="C275" s="1" t="s">
        <v>196</v>
      </c>
      <c r="D275" s="1" t="s">
        <v>1437</v>
      </c>
      <c r="E275" s="1" t="s">
        <v>996</v>
      </c>
      <c r="F275" s="1" t="s">
        <v>61</v>
      </c>
      <c r="G275" s="1" t="s">
        <v>8</v>
      </c>
    </row>
    <row r="276" customFormat="false" ht="15" hidden="false" customHeight="false" outlineLevel="0" collapsed="false">
      <c r="A276" s="1" t="n">
        <v>55</v>
      </c>
      <c r="B276" s="1" t="s">
        <v>996</v>
      </c>
      <c r="C276" s="1" t="s">
        <v>197</v>
      </c>
      <c r="D276" s="1" t="s">
        <v>1438</v>
      </c>
      <c r="E276" s="1" t="s">
        <v>996</v>
      </c>
      <c r="F276" s="1" t="s">
        <v>61</v>
      </c>
      <c r="G276" s="1" t="s">
        <v>8</v>
      </c>
    </row>
    <row r="277" customFormat="false" ht="15" hidden="false" customHeight="false" outlineLevel="0" collapsed="false">
      <c r="A277" s="1" t="n">
        <v>56</v>
      </c>
      <c r="B277" s="1" t="s">
        <v>175</v>
      </c>
      <c r="C277" s="1" t="s">
        <v>810</v>
      </c>
      <c r="D277" s="1" t="s">
        <v>998</v>
      </c>
      <c r="E277" s="1" t="s">
        <v>999</v>
      </c>
      <c r="F277" s="1" t="s">
        <v>61</v>
      </c>
      <c r="G277" s="1" t="s">
        <v>8</v>
      </c>
    </row>
    <row r="278" customFormat="false" ht="15" hidden="false" customHeight="false" outlineLevel="0" collapsed="false">
      <c r="A278" s="1" t="n">
        <v>56</v>
      </c>
      <c r="B278" s="1" t="s">
        <v>175</v>
      </c>
      <c r="C278" s="1" t="s">
        <v>1463</v>
      </c>
      <c r="D278" s="1" t="s">
        <v>67</v>
      </c>
      <c r="E278" s="1" t="s">
        <v>999</v>
      </c>
      <c r="F278" s="1" t="s">
        <v>61</v>
      </c>
      <c r="G278" s="1" t="s">
        <v>8</v>
      </c>
    </row>
    <row r="279" customFormat="false" ht="15" hidden="false" customHeight="false" outlineLevel="0" collapsed="false">
      <c r="A279" s="1" t="n">
        <v>56</v>
      </c>
      <c r="B279" s="1" t="s">
        <v>175</v>
      </c>
      <c r="C279" s="1" t="s">
        <v>1483</v>
      </c>
      <c r="D279" s="1" t="s">
        <v>1648</v>
      </c>
      <c r="E279" s="1" t="s">
        <v>999</v>
      </c>
      <c r="F279" s="1" t="s">
        <v>61</v>
      </c>
      <c r="G279" s="1" t="s">
        <v>8</v>
      </c>
    </row>
    <row r="280" customFormat="false" ht="15" hidden="false" customHeight="false" outlineLevel="0" collapsed="false">
      <c r="A280" s="1" t="n">
        <v>56</v>
      </c>
      <c r="B280" s="1" t="s">
        <v>175</v>
      </c>
      <c r="C280" s="1" t="s">
        <v>196</v>
      </c>
      <c r="D280" s="1" t="s">
        <v>1650</v>
      </c>
      <c r="E280" s="1" t="s">
        <v>999</v>
      </c>
      <c r="F280" s="1" t="s">
        <v>61</v>
      </c>
      <c r="G280" s="1" t="s">
        <v>8</v>
      </c>
    </row>
    <row r="281" customFormat="false" ht="15" hidden="false" customHeight="false" outlineLevel="0" collapsed="false">
      <c r="A281" s="1" t="n">
        <v>56</v>
      </c>
      <c r="B281" s="1" t="s">
        <v>175</v>
      </c>
      <c r="C281" s="1" t="s">
        <v>197</v>
      </c>
      <c r="D281" s="1" t="s">
        <v>1651</v>
      </c>
      <c r="E281" s="1" t="s">
        <v>999</v>
      </c>
      <c r="F281" s="1" t="s">
        <v>61</v>
      </c>
      <c r="G281" s="1" t="s">
        <v>8</v>
      </c>
    </row>
    <row r="282" customFormat="false" ht="15" hidden="false" customHeight="false" outlineLevel="0" collapsed="false">
      <c r="A282" s="1" t="n">
        <v>57</v>
      </c>
      <c r="B282" s="1" t="s">
        <v>177</v>
      </c>
      <c r="C282" s="1" t="s">
        <v>810</v>
      </c>
      <c r="D282" s="1" t="s">
        <v>836</v>
      </c>
      <c r="E282" s="1" t="s">
        <v>1001</v>
      </c>
      <c r="F282" s="1" t="s">
        <v>61</v>
      </c>
      <c r="G282" s="1" t="s">
        <v>8</v>
      </c>
    </row>
    <row r="283" customFormat="false" ht="15" hidden="false" customHeight="false" outlineLevel="0" collapsed="false">
      <c r="A283" s="1" t="n">
        <v>57</v>
      </c>
      <c r="B283" s="1" t="s">
        <v>177</v>
      </c>
      <c r="C283" s="1" t="s">
        <v>1463</v>
      </c>
      <c r="D283" s="1" t="s">
        <v>21</v>
      </c>
      <c r="E283" s="1" t="s">
        <v>1001</v>
      </c>
      <c r="F283" s="1" t="s">
        <v>61</v>
      </c>
      <c r="G283" s="1" t="s">
        <v>8</v>
      </c>
    </row>
    <row r="284" customFormat="false" ht="15" hidden="false" customHeight="false" outlineLevel="0" collapsed="false">
      <c r="A284" s="1" t="n">
        <v>57</v>
      </c>
      <c r="B284" s="1" t="s">
        <v>177</v>
      </c>
      <c r="C284" s="1" t="s">
        <v>1483</v>
      </c>
      <c r="D284" s="1" t="s">
        <v>1655</v>
      </c>
      <c r="E284" s="1" t="s">
        <v>1001</v>
      </c>
      <c r="F284" s="1" t="s">
        <v>61</v>
      </c>
      <c r="G284" s="1" t="s">
        <v>8</v>
      </c>
    </row>
    <row r="285" customFormat="false" ht="15" hidden="false" customHeight="false" outlineLevel="0" collapsed="false">
      <c r="A285" s="1" t="n">
        <v>57</v>
      </c>
      <c r="B285" s="1" t="s">
        <v>177</v>
      </c>
      <c r="C285" s="1" t="s">
        <v>196</v>
      </c>
      <c r="D285" s="1" t="s">
        <v>1657</v>
      </c>
      <c r="E285" s="1" t="s">
        <v>1001</v>
      </c>
      <c r="F285" s="1" t="s">
        <v>61</v>
      </c>
      <c r="G285" s="1" t="s">
        <v>8</v>
      </c>
    </row>
    <row r="286" customFormat="false" ht="15" hidden="false" customHeight="false" outlineLevel="0" collapsed="false">
      <c r="A286" s="1" t="n">
        <v>57</v>
      </c>
      <c r="B286" s="1" t="s">
        <v>177</v>
      </c>
      <c r="C286" s="1" t="s">
        <v>197</v>
      </c>
      <c r="D286" s="1" t="s">
        <v>1658</v>
      </c>
      <c r="E286" s="1" t="s">
        <v>1001</v>
      </c>
      <c r="F286" s="1" t="s">
        <v>61</v>
      </c>
      <c r="G286" s="1" t="s">
        <v>8</v>
      </c>
    </row>
    <row r="287" customFormat="false" ht="15" hidden="false" customHeight="false" outlineLevel="0" collapsed="false">
      <c r="A287" s="1" t="n">
        <v>58</v>
      </c>
      <c r="B287" s="1" t="s">
        <v>179</v>
      </c>
      <c r="C287" s="1" t="s">
        <v>810</v>
      </c>
      <c r="D287" s="1" t="s">
        <v>1003</v>
      </c>
      <c r="E287" s="1" t="s">
        <v>1005</v>
      </c>
      <c r="F287" s="1" t="s">
        <v>52</v>
      </c>
      <c r="G287" s="1" t="s">
        <v>38</v>
      </c>
    </row>
    <row r="288" customFormat="false" ht="15" hidden="false" customHeight="false" outlineLevel="0" collapsed="false">
      <c r="A288" s="1" t="n">
        <v>58</v>
      </c>
      <c r="B288" s="1" t="s">
        <v>179</v>
      </c>
      <c r="C288" s="1" t="s">
        <v>1463</v>
      </c>
      <c r="D288" s="1" t="s">
        <v>1004</v>
      </c>
      <c r="E288" s="1" t="s">
        <v>1005</v>
      </c>
      <c r="F288" s="1" t="s">
        <v>52</v>
      </c>
      <c r="G288" s="1" t="s">
        <v>38</v>
      </c>
    </row>
    <row r="289" customFormat="false" ht="15" hidden="false" customHeight="false" outlineLevel="0" collapsed="false">
      <c r="A289" s="1" t="n">
        <v>58</v>
      </c>
      <c r="B289" s="1" t="s">
        <v>179</v>
      </c>
      <c r="C289" s="1" t="s">
        <v>1483</v>
      </c>
      <c r="D289" s="1" t="s">
        <v>1664</v>
      </c>
      <c r="E289" s="1" t="s">
        <v>1005</v>
      </c>
      <c r="F289" s="1" t="s">
        <v>52</v>
      </c>
      <c r="G289" s="1" t="s">
        <v>38</v>
      </c>
    </row>
    <row r="290" customFormat="false" ht="15" hidden="false" customHeight="false" outlineLevel="0" collapsed="false">
      <c r="A290" s="1" t="n">
        <v>58</v>
      </c>
      <c r="B290" s="1" t="s">
        <v>179</v>
      </c>
      <c r="C290" s="1" t="s">
        <v>196</v>
      </c>
      <c r="D290" s="1" t="s">
        <v>1666</v>
      </c>
      <c r="E290" s="1" t="s">
        <v>1005</v>
      </c>
      <c r="F290" s="1" t="s">
        <v>52</v>
      </c>
      <c r="G290" s="1" t="s">
        <v>38</v>
      </c>
    </row>
    <row r="291" customFormat="false" ht="15" hidden="false" customHeight="false" outlineLevel="0" collapsed="false">
      <c r="A291" s="1" t="n">
        <v>58</v>
      </c>
      <c r="B291" s="1" t="s">
        <v>179</v>
      </c>
      <c r="C291" s="1" t="s">
        <v>197</v>
      </c>
      <c r="D291" s="1" t="s">
        <v>1667</v>
      </c>
      <c r="E291" s="1" t="s">
        <v>1005</v>
      </c>
      <c r="F291" s="1" t="s">
        <v>52</v>
      </c>
      <c r="G291" s="1" t="s">
        <v>38</v>
      </c>
    </row>
    <row r="292" customFormat="false" ht="15" hidden="false" customHeight="false" outlineLevel="0" collapsed="false">
      <c r="A292" s="1" t="n">
        <v>59</v>
      </c>
      <c r="B292" s="1" t="s">
        <v>181</v>
      </c>
      <c r="C292" s="1" t="s">
        <v>810</v>
      </c>
      <c r="D292" s="1" t="s">
        <v>1007</v>
      </c>
      <c r="E292" s="1" t="s">
        <v>794</v>
      </c>
      <c r="F292" s="1" t="s">
        <v>52</v>
      </c>
      <c r="G292" s="1" t="s">
        <v>38</v>
      </c>
    </row>
    <row r="293" customFormat="false" ht="15" hidden="false" customHeight="false" outlineLevel="0" collapsed="false">
      <c r="A293" s="1" t="n">
        <v>59</v>
      </c>
      <c r="B293" s="1" t="s">
        <v>181</v>
      </c>
      <c r="C293" s="1" t="s">
        <v>1463</v>
      </c>
      <c r="D293" s="1" t="s">
        <v>70</v>
      </c>
      <c r="E293" s="1" t="s">
        <v>794</v>
      </c>
      <c r="F293" s="1" t="s">
        <v>52</v>
      </c>
      <c r="G293" s="1" t="s">
        <v>38</v>
      </c>
    </row>
    <row r="294" customFormat="false" ht="15" hidden="false" customHeight="false" outlineLevel="0" collapsed="false">
      <c r="A294" s="1" t="n">
        <v>59</v>
      </c>
      <c r="B294" s="1" t="s">
        <v>181</v>
      </c>
      <c r="C294" s="1" t="s">
        <v>1483</v>
      </c>
      <c r="D294" s="1" t="s">
        <v>799</v>
      </c>
      <c r="E294" s="1" t="s">
        <v>794</v>
      </c>
      <c r="F294" s="1" t="s">
        <v>52</v>
      </c>
      <c r="G294" s="1" t="s">
        <v>38</v>
      </c>
    </row>
    <row r="295" customFormat="false" ht="15" hidden="false" customHeight="false" outlineLevel="0" collapsed="false">
      <c r="A295" s="1" t="n">
        <v>59</v>
      </c>
      <c r="B295" s="1" t="s">
        <v>181</v>
      </c>
      <c r="C295" s="1" t="s">
        <v>196</v>
      </c>
      <c r="D295" s="1" t="s">
        <v>801</v>
      </c>
      <c r="E295" s="1" t="s">
        <v>794</v>
      </c>
      <c r="F295" s="1" t="s">
        <v>52</v>
      </c>
      <c r="G295" s="1" t="s">
        <v>38</v>
      </c>
    </row>
    <row r="296" customFormat="false" ht="15" hidden="false" customHeight="false" outlineLevel="0" collapsed="false">
      <c r="A296" s="1" t="n">
        <v>59</v>
      </c>
      <c r="B296" s="1" t="s">
        <v>181</v>
      </c>
      <c r="C296" s="1" t="s">
        <v>197</v>
      </c>
      <c r="D296" s="1" t="s">
        <v>802</v>
      </c>
      <c r="E296" s="1" t="s">
        <v>794</v>
      </c>
      <c r="F296" s="1" t="s">
        <v>52</v>
      </c>
      <c r="G296" s="1" t="s">
        <v>38</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5"/>
    <col collapsed="false" customWidth="true" hidden="false" outlineLevel="0" max="3" min="3" style="1" width="16"/>
    <col collapsed="false" customWidth="true" hidden="false" outlineLevel="0" max="4" min="4" style="1" width="42"/>
    <col collapsed="false" customWidth="true" hidden="false" outlineLevel="0" max="5" min="5" style="1" width="12"/>
    <col collapsed="false" customWidth="true" hidden="false" outlineLevel="0" max="6" min="6" style="1" width="18"/>
    <col collapsed="false" customWidth="true" hidden="false" outlineLevel="0" max="7" min="7" style="1" width="16"/>
    <col collapsed="false" customWidth="true" hidden="false" outlineLevel="0" max="8" min="8" style="1" width="12"/>
    <col collapsed="false" customWidth="true" hidden="false" outlineLevel="0" max="9" min="9" style="1" width="18"/>
    <col collapsed="false" customWidth="true" hidden="false" outlineLevel="0" max="10" min="10" style="1" width="22"/>
  </cols>
  <sheetData>
    <row r="1" customFormat="false" ht="36" hidden="false" customHeight="true" outlineLevel="0" collapsed="false">
      <c r="A1" s="9" t="s">
        <v>805</v>
      </c>
      <c r="B1" s="11" t="s">
        <v>1012</v>
      </c>
      <c r="C1" s="11" t="s">
        <v>1724</v>
      </c>
      <c r="D1" s="11" t="s">
        <v>1725</v>
      </c>
      <c r="E1" s="11" t="s">
        <v>1726</v>
      </c>
      <c r="F1" s="11" t="s">
        <v>1727</v>
      </c>
      <c r="G1" s="11" t="s">
        <v>1728</v>
      </c>
      <c r="H1" s="11" t="s">
        <v>1729</v>
      </c>
      <c r="I1" s="11" t="s">
        <v>1730</v>
      </c>
      <c r="J1" s="11" t="s">
        <v>1731</v>
      </c>
      <c r="K1" s="11"/>
      <c r="L1" s="11"/>
      <c r="M1" s="11"/>
      <c r="N1" s="11"/>
      <c r="O1" s="11"/>
      <c r="P1" s="11"/>
      <c r="Q1" s="11"/>
      <c r="R1" s="11"/>
      <c r="S1" s="11"/>
      <c r="T1" s="11"/>
      <c r="U1" s="11"/>
      <c r="V1" s="11"/>
      <c r="W1" s="11"/>
      <c r="X1" s="11"/>
      <c r="Y1" s="11"/>
      <c r="Z1" s="11"/>
    </row>
    <row r="2" customFormat="false" ht="15" hidden="false" customHeight="false" outlineLevel="0" collapsed="false">
      <c r="A2" s="1" t="n">
        <v>1</v>
      </c>
      <c r="B2" s="1" t="s">
        <v>819</v>
      </c>
      <c r="C2" s="1" t="s">
        <v>795</v>
      </c>
      <c r="D2" s="1" t="s">
        <v>1494</v>
      </c>
      <c r="F2" s="1" t="s">
        <v>8</v>
      </c>
      <c r="G2" s="1" t="s">
        <v>8</v>
      </c>
      <c r="H2" s="1" t="s">
        <v>8</v>
      </c>
      <c r="I2" s="1" t="s">
        <v>8</v>
      </c>
      <c r="J2" s="1" t="s">
        <v>1732</v>
      </c>
    </row>
    <row r="3" customFormat="false" ht="15" hidden="false" customHeight="false" outlineLevel="0" collapsed="false">
      <c r="A3" s="1" t="n">
        <v>2</v>
      </c>
      <c r="B3" s="1" t="s">
        <v>824</v>
      </c>
      <c r="C3" s="1" t="s">
        <v>795</v>
      </c>
      <c r="D3" s="1" t="s">
        <v>1494</v>
      </c>
      <c r="F3" s="1" t="s">
        <v>8</v>
      </c>
      <c r="G3" s="1" t="s">
        <v>8</v>
      </c>
      <c r="H3" s="1" t="s">
        <v>8</v>
      </c>
      <c r="I3" s="1" t="s">
        <v>8</v>
      </c>
      <c r="J3" s="1" t="s">
        <v>1732</v>
      </c>
    </row>
    <row r="4" customFormat="false" ht="15" hidden="false" customHeight="false" outlineLevel="0" collapsed="false">
      <c r="A4" s="1" t="n">
        <v>3</v>
      </c>
      <c r="B4" s="1" t="s">
        <v>828</v>
      </c>
      <c r="C4" s="1" t="s">
        <v>795</v>
      </c>
      <c r="D4" s="1" t="s">
        <v>1494</v>
      </c>
      <c r="F4" s="1" t="s">
        <v>8</v>
      </c>
      <c r="G4" s="1" t="s">
        <v>8</v>
      </c>
      <c r="H4" s="1" t="s">
        <v>8</v>
      </c>
      <c r="I4" s="1" t="s">
        <v>8</v>
      </c>
      <c r="J4" s="1" t="s">
        <v>1732</v>
      </c>
    </row>
    <row r="5" customFormat="false" ht="15" hidden="false" customHeight="false" outlineLevel="0" collapsed="false">
      <c r="A5" s="1" t="n">
        <v>4</v>
      </c>
      <c r="B5" s="1" t="s">
        <v>58</v>
      </c>
      <c r="C5" s="1" t="s">
        <v>795</v>
      </c>
      <c r="D5" s="1" t="s">
        <v>1494</v>
      </c>
      <c r="F5" s="1" t="s">
        <v>8</v>
      </c>
      <c r="G5" s="1" t="s">
        <v>8</v>
      </c>
      <c r="H5" s="1" t="s">
        <v>8</v>
      </c>
      <c r="I5" s="1" t="s">
        <v>8</v>
      </c>
      <c r="J5" s="1" t="s">
        <v>1732</v>
      </c>
    </row>
    <row r="6" customFormat="false" ht="15" hidden="false" customHeight="false" outlineLevel="0" collapsed="false">
      <c r="A6" s="1" t="n">
        <v>5</v>
      </c>
      <c r="B6" s="1" t="s">
        <v>62</v>
      </c>
      <c r="C6" s="1" t="s">
        <v>835</v>
      </c>
      <c r="D6" s="1" t="s">
        <v>1514</v>
      </c>
      <c r="F6" s="1" t="s">
        <v>1460</v>
      </c>
      <c r="G6" s="1" t="s">
        <v>8</v>
      </c>
      <c r="H6" s="1" t="s">
        <v>8</v>
      </c>
      <c r="I6" s="1" t="s">
        <v>8</v>
      </c>
      <c r="J6" s="1" t="s">
        <v>1733</v>
      </c>
    </row>
    <row r="7" customFormat="false" ht="15" hidden="false" customHeight="false" outlineLevel="0" collapsed="false">
      <c r="A7" s="1" t="n">
        <v>6</v>
      </c>
      <c r="B7" s="1" t="s">
        <v>839</v>
      </c>
      <c r="C7" s="1" t="s">
        <v>835</v>
      </c>
      <c r="D7" s="1" t="s">
        <v>1517</v>
      </c>
      <c r="F7" s="1" t="s">
        <v>1460</v>
      </c>
      <c r="G7" s="1" t="s">
        <v>8</v>
      </c>
      <c r="H7" s="1" t="s">
        <v>8</v>
      </c>
      <c r="I7" s="1" t="s">
        <v>8</v>
      </c>
      <c r="J7" s="1" t="s">
        <v>1733</v>
      </c>
    </row>
    <row r="8" customFormat="false" ht="15" hidden="false" customHeight="false" outlineLevel="0" collapsed="false">
      <c r="A8" s="1" t="n">
        <v>7</v>
      </c>
      <c r="B8" s="1" t="s">
        <v>842</v>
      </c>
      <c r="C8" s="1" t="s">
        <v>795</v>
      </c>
      <c r="D8" s="1" t="s">
        <v>1494</v>
      </c>
      <c r="F8" s="1" t="s">
        <v>8</v>
      </c>
      <c r="G8" s="1" t="s">
        <v>1734</v>
      </c>
      <c r="H8" s="1" t="s">
        <v>8</v>
      </c>
      <c r="I8" s="1" t="s">
        <v>8</v>
      </c>
      <c r="J8" s="1" t="s">
        <v>1732</v>
      </c>
    </row>
    <row r="9" customFormat="false" ht="15" hidden="false" customHeight="false" outlineLevel="0" collapsed="false">
      <c r="A9" s="1" t="n">
        <v>8</v>
      </c>
      <c r="B9" s="1" t="s">
        <v>847</v>
      </c>
      <c r="C9" s="1" t="s">
        <v>795</v>
      </c>
      <c r="D9" s="1" t="s">
        <v>1494</v>
      </c>
      <c r="F9" s="1" t="s">
        <v>8</v>
      </c>
      <c r="G9" s="1" t="s">
        <v>8</v>
      </c>
      <c r="H9" s="1" t="s">
        <v>8</v>
      </c>
      <c r="I9" s="1" t="s">
        <v>8</v>
      </c>
      <c r="J9" s="1" t="s">
        <v>1732</v>
      </c>
    </row>
    <row r="10" customFormat="false" ht="15" hidden="false" customHeight="false" outlineLevel="0" collapsed="false">
      <c r="A10" s="1" t="n">
        <v>9</v>
      </c>
      <c r="B10" s="1" t="s">
        <v>852</v>
      </c>
      <c r="C10" s="1" t="s">
        <v>795</v>
      </c>
      <c r="D10" s="1" t="s">
        <v>1494</v>
      </c>
      <c r="F10" s="1" t="s">
        <v>8</v>
      </c>
      <c r="G10" s="1" t="s">
        <v>8</v>
      </c>
      <c r="H10" s="1" t="s">
        <v>8</v>
      </c>
      <c r="I10" s="1" t="s">
        <v>8</v>
      </c>
      <c r="J10" s="1" t="s">
        <v>1732</v>
      </c>
    </row>
    <row r="11" customFormat="false" ht="15" hidden="false" customHeight="false" outlineLevel="0" collapsed="false">
      <c r="A11" s="1" t="n">
        <v>10</v>
      </c>
      <c r="B11" s="1" t="s">
        <v>852</v>
      </c>
      <c r="C11" s="1" t="s">
        <v>297</v>
      </c>
      <c r="D11" s="1" t="s">
        <v>1532</v>
      </c>
      <c r="E11" s="1" t="n">
        <v>9</v>
      </c>
      <c r="F11" s="1" t="s">
        <v>38</v>
      </c>
      <c r="G11" s="1" t="s">
        <v>1734</v>
      </c>
      <c r="H11" s="1" t="s">
        <v>8</v>
      </c>
      <c r="I11" s="1" t="s">
        <v>8</v>
      </c>
      <c r="J11" s="1" t="s">
        <v>297</v>
      </c>
    </row>
    <row r="12" customFormat="false" ht="15" hidden="false" customHeight="false" outlineLevel="0" collapsed="false">
      <c r="A12" s="1" t="n">
        <v>11</v>
      </c>
      <c r="B12" s="1" t="s">
        <v>854</v>
      </c>
      <c r="C12" s="1" t="s">
        <v>795</v>
      </c>
      <c r="D12" s="1" t="s">
        <v>1494</v>
      </c>
      <c r="F12" s="1" t="s">
        <v>8</v>
      </c>
      <c r="G12" s="1" t="s">
        <v>8</v>
      </c>
      <c r="H12" s="1" t="s">
        <v>8</v>
      </c>
      <c r="I12" s="1" t="s">
        <v>8</v>
      </c>
      <c r="J12" s="1" t="s">
        <v>1732</v>
      </c>
    </row>
    <row r="13" customFormat="false" ht="15" hidden="false" customHeight="false" outlineLevel="0" collapsed="false">
      <c r="A13" s="1" t="n">
        <v>12</v>
      </c>
      <c r="B13" s="1" t="s">
        <v>857</v>
      </c>
      <c r="C13" s="1" t="s">
        <v>795</v>
      </c>
      <c r="D13" s="1" t="s">
        <v>1494</v>
      </c>
      <c r="F13" s="1" t="s">
        <v>8</v>
      </c>
      <c r="G13" s="1" t="s">
        <v>8</v>
      </c>
      <c r="H13" s="1" t="s">
        <v>8</v>
      </c>
      <c r="I13" s="1" t="s">
        <v>8</v>
      </c>
      <c r="J13" s="1" t="s">
        <v>1732</v>
      </c>
    </row>
    <row r="14" customFormat="false" ht="15" hidden="false" customHeight="false" outlineLevel="0" collapsed="false">
      <c r="A14" s="1" t="n">
        <v>13</v>
      </c>
      <c r="B14" s="1" t="s">
        <v>860</v>
      </c>
      <c r="C14" s="1" t="s">
        <v>795</v>
      </c>
      <c r="D14" s="1" t="s">
        <v>1494</v>
      </c>
      <c r="F14" s="1" t="s">
        <v>8</v>
      </c>
      <c r="G14" s="1" t="s">
        <v>8</v>
      </c>
      <c r="H14" s="1" t="s">
        <v>8</v>
      </c>
      <c r="I14" s="1" t="s">
        <v>8</v>
      </c>
      <c r="J14" s="1" t="s">
        <v>1732</v>
      </c>
    </row>
    <row r="15" customFormat="false" ht="15" hidden="false" customHeight="false" outlineLevel="0" collapsed="false">
      <c r="A15" s="1" t="n">
        <v>14</v>
      </c>
      <c r="B15" s="1" t="s">
        <v>864</v>
      </c>
      <c r="C15" s="1" t="s">
        <v>795</v>
      </c>
      <c r="D15" s="1" t="s">
        <v>1494</v>
      </c>
      <c r="F15" s="1" t="s">
        <v>8</v>
      </c>
      <c r="G15" s="1" t="s">
        <v>8</v>
      </c>
      <c r="H15" s="1" t="s">
        <v>8</v>
      </c>
      <c r="I15" s="1" t="s">
        <v>8</v>
      </c>
      <c r="J15" s="1" t="s">
        <v>1732</v>
      </c>
    </row>
    <row r="16" customFormat="false" ht="15" hidden="false" customHeight="false" outlineLevel="0" collapsed="false">
      <c r="A16" s="1" t="n">
        <v>15</v>
      </c>
      <c r="B16" s="1" t="s">
        <v>88</v>
      </c>
      <c r="C16" s="1" t="s">
        <v>795</v>
      </c>
      <c r="D16" s="1" t="s">
        <v>1494</v>
      </c>
      <c r="F16" s="1" t="s">
        <v>8</v>
      </c>
      <c r="G16" s="1" t="s">
        <v>1734</v>
      </c>
      <c r="H16" s="1" t="s">
        <v>8</v>
      </c>
      <c r="I16" s="1" t="s">
        <v>8</v>
      </c>
      <c r="J16" s="1" t="s">
        <v>1732</v>
      </c>
    </row>
    <row r="17" customFormat="false" ht="15" hidden="false" customHeight="false" outlineLevel="0" collapsed="false">
      <c r="A17" s="1" t="n">
        <v>16</v>
      </c>
      <c r="B17" s="1" t="s">
        <v>869</v>
      </c>
      <c r="C17" s="1" t="s">
        <v>870</v>
      </c>
      <c r="D17" s="1" t="s">
        <v>1549</v>
      </c>
      <c r="F17" s="1" t="s">
        <v>38</v>
      </c>
      <c r="G17" s="1" t="s">
        <v>8</v>
      </c>
      <c r="H17" s="1" t="s">
        <v>8</v>
      </c>
      <c r="I17" s="1" t="s">
        <v>8</v>
      </c>
      <c r="J17" s="1" t="s">
        <v>870</v>
      </c>
    </row>
    <row r="18" customFormat="false" ht="15" hidden="false" customHeight="false" outlineLevel="0" collapsed="false">
      <c r="A18" s="1" t="n">
        <v>17</v>
      </c>
      <c r="B18" s="1" t="s">
        <v>94</v>
      </c>
      <c r="C18" s="1" t="s">
        <v>795</v>
      </c>
      <c r="D18" s="1" t="s">
        <v>1494</v>
      </c>
      <c r="F18" s="1" t="s">
        <v>8</v>
      </c>
      <c r="G18" s="1" t="s">
        <v>8</v>
      </c>
      <c r="H18" s="1" t="s">
        <v>8</v>
      </c>
      <c r="I18" s="1" t="s">
        <v>8</v>
      </c>
      <c r="J18" s="1" t="s">
        <v>1732</v>
      </c>
    </row>
    <row r="19" customFormat="false" ht="15" hidden="false" customHeight="false" outlineLevel="0" collapsed="false">
      <c r="A19" s="1" t="n">
        <v>18</v>
      </c>
      <c r="B19" s="1" t="s">
        <v>877</v>
      </c>
      <c r="C19" s="1" t="s">
        <v>795</v>
      </c>
      <c r="D19" s="1" t="s">
        <v>1494</v>
      </c>
      <c r="F19" s="1" t="s">
        <v>8</v>
      </c>
      <c r="G19" s="1" t="s">
        <v>8</v>
      </c>
      <c r="H19" s="1" t="s">
        <v>8</v>
      </c>
      <c r="I19" s="1" t="s">
        <v>8</v>
      </c>
      <c r="J19" s="1" t="s">
        <v>1732</v>
      </c>
    </row>
    <row r="20" customFormat="false" ht="15" hidden="false" customHeight="false" outlineLevel="0" collapsed="false">
      <c r="A20" s="1" t="n">
        <v>19</v>
      </c>
      <c r="B20" s="1" t="s">
        <v>882</v>
      </c>
      <c r="C20" s="1" t="s">
        <v>795</v>
      </c>
      <c r="D20" s="1" t="s">
        <v>1494</v>
      </c>
      <c r="F20" s="1" t="s">
        <v>8</v>
      </c>
      <c r="G20" s="1" t="s">
        <v>8</v>
      </c>
      <c r="H20" s="1" t="s">
        <v>8</v>
      </c>
      <c r="I20" s="1" t="s">
        <v>8</v>
      </c>
      <c r="J20" s="1" t="s">
        <v>1732</v>
      </c>
    </row>
    <row r="21" customFormat="false" ht="15" hidden="false" customHeight="false" outlineLevel="0" collapsed="false">
      <c r="A21" s="1" t="n">
        <v>20</v>
      </c>
      <c r="B21" s="1" t="s">
        <v>885</v>
      </c>
      <c r="C21" s="1" t="s">
        <v>795</v>
      </c>
      <c r="D21" s="1" t="s">
        <v>1494</v>
      </c>
      <c r="F21" s="1" t="s">
        <v>8</v>
      </c>
      <c r="G21" s="1" t="s">
        <v>8</v>
      </c>
      <c r="H21" s="1" t="s">
        <v>8</v>
      </c>
      <c r="I21" s="1" t="s">
        <v>8</v>
      </c>
      <c r="J21" s="1" t="s">
        <v>1732</v>
      </c>
    </row>
    <row r="22" customFormat="false" ht="15" hidden="false" customHeight="false" outlineLevel="0" collapsed="false">
      <c r="A22" s="1" t="n">
        <v>21</v>
      </c>
      <c r="B22" s="1" t="s">
        <v>102</v>
      </c>
      <c r="C22" s="1" t="s">
        <v>795</v>
      </c>
      <c r="D22" s="1" t="s">
        <v>1494</v>
      </c>
      <c r="F22" s="1" t="s">
        <v>8</v>
      </c>
      <c r="G22" s="1" t="s">
        <v>8</v>
      </c>
      <c r="H22" s="1" t="s">
        <v>8</v>
      </c>
      <c r="I22" s="1" t="s">
        <v>8</v>
      </c>
      <c r="J22" s="1" t="s">
        <v>1732</v>
      </c>
    </row>
    <row r="23" customFormat="false" ht="15" hidden="false" customHeight="false" outlineLevel="0" collapsed="false">
      <c r="A23" s="1" t="n">
        <v>22</v>
      </c>
      <c r="B23" s="1" t="s">
        <v>892</v>
      </c>
      <c r="C23" s="1" t="s">
        <v>795</v>
      </c>
      <c r="D23" s="1" t="s">
        <v>1494</v>
      </c>
      <c r="F23" s="1" t="s">
        <v>8</v>
      </c>
      <c r="G23" s="1" t="s">
        <v>8</v>
      </c>
      <c r="H23" s="1" t="s">
        <v>8</v>
      </c>
      <c r="I23" s="1" t="s">
        <v>8</v>
      </c>
      <c r="J23" s="1" t="s">
        <v>1732</v>
      </c>
    </row>
    <row r="24" customFormat="false" ht="15" hidden="false" customHeight="false" outlineLevel="0" collapsed="false">
      <c r="A24" s="1" t="n">
        <v>23</v>
      </c>
      <c r="B24" s="1" t="s">
        <v>896</v>
      </c>
      <c r="C24" s="1" t="s">
        <v>795</v>
      </c>
      <c r="D24" s="1" t="s">
        <v>1494</v>
      </c>
      <c r="F24" s="1" t="s">
        <v>8</v>
      </c>
      <c r="G24" s="1" t="s">
        <v>1734</v>
      </c>
      <c r="H24" s="1" t="s">
        <v>8</v>
      </c>
      <c r="I24" s="1" t="s">
        <v>8</v>
      </c>
      <c r="J24" s="1" t="s">
        <v>1732</v>
      </c>
    </row>
    <row r="25" customFormat="false" ht="15" hidden="false" customHeight="false" outlineLevel="0" collapsed="false">
      <c r="A25" s="1" t="n">
        <v>24</v>
      </c>
      <c r="B25" s="1" t="s">
        <v>899</v>
      </c>
      <c r="C25" s="1" t="s">
        <v>835</v>
      </c>
      <c r="D25" s="1" t="s">
        <v>1572</v>
      </c>
      <c r="F25" s="1" t="s">
        <v>1460</v>
      </c>
      <c r="G25" s="1" t="s">
        <v>8</v>
      </c>
      <c r="H25" s="1" t="s">
        <v>8</v>
      </c>
      <c r="I25" s="1" t="s">
        <v>8</v>
      </c>
      <c r="J25" s="1" t="s">
        <v>1733</v>
      </c>
    </row>
    <row r="26" customFormat="false" ht="15" hidden="false" customHeight="false" outlineLevel="0" collapsed="false">
      <c r="A26" s="1" t="n">
        <v>25</v>
      </c>
      <c r="B26" s="1" t="s">
        <v>902</v>
      </c>
      <c r="C26" s="1" t="s">
        <v>795</v>
      </c>
      <c r="D26" s="1" t="s">
        <v>1494</v>
      </c>
      <c r="F26" s="1" t="s">
        <v>8</v>
      </c>
      <c r="G26" s="1" t="s">
        <v>8</v>
      </c>
      <c r="H26" s="1" t="s">
        <v>8</v>
      </c>
      <c r="I26" s="1" t="s">
        <v>8</v>
      </c>
      <c r="J26" s="1" t="s">
        <v>1732</v>
      </c>
    </row>
    <row r="27" customFormat="false" ht="15" hidden="false" customHeight="false" outlineLevel="0" collapsed="false">
      <c r="A27" s="1" t="n">
        <v>26</v>
      </c>
      <c r="B27" s="1" t="s">
        <v>906</v>
      </c>
      <c r="C27" s="1" t="s">
        <v>795</v>
      </c>
      <c r="D27" s="1" t="s">
        <v>1494</v>
      </c>
      <c r="F27" s="1" t="s">
        <v>8</v>
      </c>
      <c r="G27" s="1" t="s">
        <v>8</v>
      </c>
      <c r="H27" s="1" t="s">
        <v>8</v>
      </c>
      <c r="I27" s="1" t="s">
        <v>8</v>
      </c>
      <c r="J27" s="1" t="s">
        <v>1732</v>
      </c>
    </row>
    <row r="28" customFormat="false" ht="15" hidden="false" customHeight="false" outlineLevel="0" collapsed="false">
      <c r="A28" s="1" t="n">
        <v>27</v>
      </c>
      <c r="B28" s="1" t="s">
        <v>115</v>
      </c>
      <c r="C28" s="1" t="s">
        <v>795</v>
      </c>
      <c r="D28" s="1" t="s">
        <v>1494</v>
      </c>
      <c r="F28" s="1" t="s">
        <v>8</v>
      </c>
      <c r="G28" s="1" t="s">
        <v>8</v>
      </c>
      <c r="H28" s="1" t="s">
        <v>8</v>
      </c>
      <c r="I28" s="1" t="s">
        <v>8</v>
      </c>
      <c r="J28" s="1" t="s">
        <v>1732</v>
      </c>
    </row>
    <row r="29" customFormat="false" ht="15" hidden="false" customHeight="false" outlineLevel="0" collapsed="false">
      <c r="A29" s="1" t="n">
        <v>28</v>
      </c>
      <c r="B29" s="1" t="s">
        <v>914</v>
      </c>
      <c r="C29" s="1" t="s">
        <v>795</v>
      </c>
      <c r="D29" s="1" t="s">
        <v>1494</v>
      </c>
      <c r="F29" s="1" t="s">
        <v>8</v>
      </c>
      <c r="G29" s="1" t="s">
        <v>8</v>
      </c>
      <c r="H29" s="1" t="s">
        <v>8</v>
      </c>
      <c r="I29" s="1" t="s">
        <v>8</v>
      </c>
      <c r="J29" s="1" t="s">
        <v>1732</v>
      </c>
    </row>
    <row r="30" customFormat="false" ht="15" hidden="false" customHeight="false" outlineLevel="0" collapsed="false">
      <c r="A30" s="1" t="n">
        <v>29</v>
      </c>
      <c r="B30" s="1" t="s">
        <v>917</v>
      </c>
      <c r="C30" s="1" t="s">
        <v>795</v>
      </c>
      <c r="D30" s="1" t="s">
        <v>1494</v>
      </c>
      <c r="F30" s="1" t="s">
        <v>8</v>
      </c>
      <c r="G30" s="1" t="s">
        <v>8</v>
      </c>
      <c r="H30" s="1" t="s">
        <v>8</v>
      </c>
      <c r="I30" s="1" t="s">
        <v>8</v>
      </c>
      <c r="J30" s="1" t="s">
        <v>1732</v>
      </c>
    </row>
    <row r="31" customFormat="false" ht="15" hidden="false" customHeight="false" outlineLevel="0" collapsed="false">
      <c r="A31" s="1" t="n">
        <v>30</v>
      </c>
      <c r="B31" s="1" t="s">
        <v>921</v>
      </c>
      <c r="C31" s="1" t="s">
        <v>795</v>
      </c>
      <c r="D31" s="1" t="s">
        <v>1494</v>
      </c>
      <c r="F31" s="1" t="s">
        <v>8</v>
      </c>
      <c r="G31" s="1" t="s">
        <v>8</v>
      </c>
      <c r="H31" s="1" t="s">
        <v>8</v>
      </c>
      <c r="I31" s="1" t="s">
        <v>8</v>
      </c>
      <c r="J31" s="1" t="s">
        <v>1732</v>
      </c>
    </row>
    <row r="32" customFormat="false" ht="15" hidden="false" customHeight="false" outlineLevel="0" collapsed="false">
      <c r="A32" s="1" t="n">
        <v>31</v>
      </c>
      <c r="B32" s="1" t="s">
        <v>924</v>
      </c>
      <c r="C32" s="1" t="s">
        <v>795</v>
      </c>
      <c r="D32" s="1" t="s">
        <v>1494</v>
      </c>
      <c r="F32" s="1" t="s">
        <v>8</v>
      </c>
      <c r="G32" s="1" t="s">
        <v>8</v>
      </c>
      <c r="H32" s="1" t="s">
        <v>8</v>
      </c>
      <c r="I32" s="1" t="s">
        <v>8</v>
      </c>
      <c r="J32" s="1" t="s">
        <v>1732</v>
      </c>
    </row>
    <row r="33" customFormat="false" ht="15" hidden="false" customHeight="false" outlineLevel="0" collapsed="false">
      <c r="A33" s="1" t="n">
        <v>32</v>
      </c>
      <c r="B33" s="1" t="s">
        <v>928</v>
      </c>
      <c r="C33" s="1" t="s">
        <v>795</v>
      </c>
      <c r="D33" s="1" t="s">
        <v>1494</v>
      </c>
      <c r="F33" s="1" t="s">
        <v>8</v>
      </c>
      <c r="G33" s="1" t="s">
        <v>8</v>
      </c>
      <c r="H33" s="1" t="s">
        <v>8</v>
      </c>
      <c r="I33" s="1" t="s">
        <v>8</v>
      </c>
      <c r="J33" s="1" t="s">
        <v>1732</v>
      </c>
    </row>
    <row r="34" customFormat="false" ht="15" hidden="false" customHeight="false" outlineLevel="0" collapsed="false">
      <c r="A34" s="1" t="n">
        <v>33</v>
      </c>
      <c r="B34" s="1" t="s">
        <v>932</v>
      </c>
      <c r="C34" s="1" t="s">
        <v>795</v>
      </c>
      <c r="D34" s="1" t="s">
        <v>1494</v>
      </c>
      <c r="F34" s="1" t="s">
        <v>8</v>
      </c>
      <c r="G34" s="1" t="s">
        <v>8</v>
      </c>
      <c r="H34" s="1" t="s">
        <v>8</v>
      </c>
      <c r="I34" s="1" t="s">
        <v>8</v>
      </c>
      <c r="J34" s="1" t="s">
        <v>1732</v>
      </c>
    </row>
    <row r="35" customFormat="false" ht="15" hidden="false" customHeight="false" outlineLevel="0" collapsed="false">
      <c r="A35" s="1" t="n">
        <v>34</v>
      </c>
      <c r="B35" s="1" t="s">
        <v>935</v>
      </c>
      <c r="C35" s="1" t="s">
        <v>795</v>
      </c>
      <c r="D35" s="1" t="s">
        <v>1494</v>
      </c>
      <c r="F35" s="1" t="s">
        <v>8</v>
      </c>
      <c r="G35" s="1" t="s">
        <v>8</v>
      </c>
      <c r="H35" s="1" t="s">
        <v>8</v>
      </c>
      <c r="I35" s="1" t="s">
        <v>8</v>
      </c>
      <c r="J35" s="1" t="s">
        <v>1732</v>
      </c>
    </row>
    <row r="36" customFormat="false" ht="15" hidden="false" customHeight="false" outlineLevel="0" collapsed="false">
      <c r="A36" s="1" t="n">
        <v>35</v>
      </c>
      <c r="B36" s="1" t="s">
        <v>132</v>
      </c>
      <c r="C36" s="1" t="s">
        <v>835</v>
      </c>
      <c r="D36" s="1" t="s">
        <v>1597</v>
      </c>
      <c r="F36" s="1" t="s">
        <v>1460</v>
      </c>
      <c r="G36" s="1" t="s">
        <v>1734</v>
      </c>
      <c r="H36" s="1" t="s">
        <v>8</v>
      </c>
      <c r="I36" s="1" t="s">
        <v>8</v>
      </c>
      <c r="J36" s="1" t="s">
        <v>1733</v>
      </c>
    </row>
    <row r="37" customFormat="false" ht="15" hidden="false" customHeight="false" outlineLevel="0" collapsed="false">
      <c r="A37" s="1" t="n">
        <v>36</v>
      </c>
      <c r="B37" s="1" t="s">
        <v>134</v>
      </c>
      <c r="C37" s="1" t="s">
        <v>795</v>
      </c>
      <c r="D37" s="1" t="s">
        <v>1494</v>
      </c>
      <c r="F37" s="1" t="s">
        <v>8</v>
      </c>
      <c r="G37" s="1" t="s">
        <v>8</v>
      </c>
      <c r="H37" s="1" t="s">
        <v>8</v>
      </c>
      <c r="I37" s="1" t="s">
        <v>8</v>
      </c>
      <c r="J37" s="1" t="s">
        <v>1732</v>
      </c>
    </row>
    <row r="38" customFormat="false" ht="15" hidden="false" customHeight="false" outlineLevel="0" collapsed="false">
      <c r="A38" s="1" t="n">
        <v>37</v>
      </c>
      <c r="B38" s="1" t="s">
        <v>944</v>
      </c>
      <c r="C38" s="1" t="s">
        <v>795</v>
      </c>
      <c r="D38" s="1" t="s">
        <v>1494</v>
      </c>
      <c r="F38" s="1" t="s">
        <v>8</v>
      </c>
      <c r="G38" s="1" t="s">
        <v>8</v>
      </c>
      <c r="H38" s="1" t="s">
        <v>8</v>
      </c>
      <c r="I38" s="1" t="s">
        <v>8</v>
      </c>
      <c r="J38" s="1" t="s">
        <v>1732</v>
      </c>
    </row>
    <row r="39" customFormat="false" ht="15" hidden="false" customHeight="false" outlineLevel="0" collapsed="false">
      <c r="A39" s="1" t="n">
        <v>38</v>
      </c>
      <c r="B39" s="1" t="s">
        <v>947</v>
      </c>
      <c r="C39" s="1" t="s">
        <v>795</v>
      </c>
      <c r="D39" s="1" t="s">
        <v>1494</v>
      </c>
      <c r="F39" s="1" t="s">
        <v>8</v>
      </c>
      <c r="G39" s="1" t="s">
        <v>8</v>
      </c>
      <c r="H39" s="1" t="s">
        <v>8</v>
      </c>
      <c r="I39" s="1" t="s">
        <v>8</v>
      </c>
      <c r="J39" s="1" t="s">
        <v>1732</v>
      </c>
    </row>
    <row r="40" customFormat="false" ht="15" hidden="false" customHeight="false" outlineLevel="0" collapsed="false">
      <c r="A40" s="1" t="n">
        <v>39</v>
      </c>
      <c r="B40" s="1" t="s">
        <v>949</v>
      </c>
      <c r="C40" s="1" t="s">
        <v>795</v>
      </c>
      <c r="D40" s="1" t="s">
        <v>1494</v>
      </c>
      <c r="F40" s="1" t="s">
        <v>8</v>
      </c>
      <c r="G40" s="1" t="s">
        <v>8</v>
      </c>
      <c r="H40" s="1" t="s">
        <v>8</v>
      </c>
      <c r="I40" s="1" t="s">
        <v>8</v>
      </c>
      <c r="J40" s="1" t="s">
        <v>1732</v>
      </c>
    </row>
    <row r="41" customFormat="false" ht="15" hidden="false" customHeight="false" outlineLevel="0" collapsed="false">
      <c r="A41" s="1" t="n">
        <v>40</v>
      </c>
      <c r="B41" s="1" t="s">
        <v>952</v>
      </c>
      <c r="C41" s="1" t="s">
        <v>795</v>
      </c>
      <c r="D41" s="1" t="s">
        <v>1494</v>
      </c>
      <c r="F41" s="1" t="s">
        <v>8</v>
      </c>
      <c r="G41" s="1" t="s">
        <v>8</v>
      </c>
      <c r="H41" s="1" t="s">
        <v>8</v>
      </c>
      <c r="I41" s="1" t="s">
        <v>8</v>
      </c>
      <c r="J41" s="1" t="s">
        <v>1732</v>
      </c>
    </row>
    <row r="42" customFormat="false" ht="15" hidden="false" customHeight="false" outlineLevel="0" collapsed="false">
      <c r="A42" s="1" t="n">
        <v>41</v>
      </c>
      <c r="B42" s="1" t="s">
        <v>956</v>
      </c>
      <c r="C42" s="1" t="s">
        <v>795</v>
      </c>
      <c r="D42" s="1" t="s">
        <v>1494</v>
      </c>
      <c r="F42" s="1" t="s">
        <v>8</v>
      </c>
      <c r="G42" s="1" t="s">
        <v>8</v>
      </c>
      <c r="H42" s="1" t="s">
        <v>8</v>
      </c>
      <c r="I42" s="1" t="s">
        <v>8</v>
      </c>
      <c r="J42" s="1" t="s">
        <v>1732</v>
      </c>
    </row>
    <row r="43" customFormat="false" ht="15" hidden="false" customHeight="false" outlineLevel="0" collapsed="false">
      <c r="A43" s="1" t="n">
        <v>42</v>
      </c>
      <c r="B43" s="1" t="s">
        <v>959</v>
      </c>
      <c r="C43" s="1" t="s">
        <v>795</v>
      </c>
      <c r="D43" s="1" t="s">
        <v>1494</v>
      </c>
      <c r="F43" s="1" t="s">
        <v>8</v>
      </c>
      <c r="G43" s="1" t="s">
        <v>8</v>
      </c>
      <c r="H43" s="1" t="s">
        <v>8</v>
      </c>
      <c r="I43" s="1" t="s">
        <v>8</v>
      </c>
      <c r="J43" s="1" t="s">
        <v>1732</v>
      </c>
    </row>
    <row r="44" customFormat="false" ht="15" hidden="false" customHeight="false" outlineLevel="0" collapsed="false">
      <c r="A44" s="1" t="n">
        <v>43</v>
      </c>
      <c r="B44" s="1" t="s">
        <v>962</v>
      </c>
      <c r="C44" s="1" t="s">
        <v>795</v>
      </c>
      <c r="D44" s="1" t="s">
        <v>1494</v>
      </c>
      <c r="F44" s="1" t="s">
        <v>8</v>
      </c>
      <c r="G44" s="1" t="s">
        <v>8</v>
      </c>
      <c r="H44" s="1" t="s">
        <v>8</v>
      </c>
      <c r="I44" s="1" t="s">
        <v>8</v>
      </c>
      <c r="J44" s="1" t="s">
        <v>1732</v>
      </c>
    </row>
    <row r="45" customFormat="false" ht="15" hidden="false" customHeight="false" outlineLevel="0" collapsed="false">
      <c r="A45" s="1" t="n">
        <v>44</v>
      </c>
      <c r="B45" s="1" t="s">
        <v>965</v>
      </c>
      <c r="C45" s="1" t="s">
        <v>795</v>
      </c>
      <c r="D45" s="1" t="s">
        <v>1494</v>
      </c>
      <c r="F45" s="1" t="s">
        <v>8</v>
      </c>
      <c r="G45" s="1" t="s">
        <v>8</v>
      </c>
      <c r="H45" s="1" t="s">
        <v>8</v>
      </c>
      <c r="I45" s="1" t="s">
        <v>8</v>
      </c>
      <c r="J45" s="1" t="s">
        <v>1732</v>
      </c>
    </row>
    <row r="46" customFormat="false" ht="15" hidden="false" customHeight="false" outlineLevel="0" collapsed="false">
      <c r="A46" s="1" t="n">
        <v>45</v>
      </c>
      <c r="B46" s="1" t="s">
        <v>968</v>
      </c>
      <c r="C46" s="1" t="s">
        <v>870</v>
      </c>
      <c r="D46" s="1" t="s">
        <v>1619</v>
      </c>
      <c r="F46" s="1" t="s">
        <v>38</v>
      </c>
      <c r="G46" s="1" t="s">
        <v>8</v>
      </c>
      <c r="H46" s="1" t="s">
        <v>8</v>
      </c>
      <c r="I46" s="1" t="s">
        <v>8</v>
      </c>
      <c r="J46" s="1" t="s">
        <v>870</v>
      </c>
    </row>
    <row r="47" customFormat="false" ht="15" hidden="false" customHeight="false" outlineLevel="0" collapsed="false">
      <c r="A47" s="1" t="n">
        <v>46</v>
      </c>
      <c r="B47" s="1" t="s">
        <v>970</v>
      </c>
      <c r="C47" s="1" t="s">
        <v>795</v>
      </c>
      <c r="D47" s="1" t="s">
        <v>1494</v>
      </c>
      <c r="F47" s="1" t="s">
        <v>8</v>
      </c>
      <c r="G47" s="1" t="s">
        <v>8</v>
      </c>
      <c r="H47" s="1" t="s">
        <v>8</v>
      </c>
      <c r="I47" s="1" t="s">
        <v>8</v>
      </c>
      <c r="J47" s="1" t="s">
        <v>1732</v>
      </c>
    </row>
    <row r="48" customFormat="false" ht="15" hidden="false" customHeight="false" outlineLevel="0" collapsed="false">
      <c r="A48" s="1" t="n">
        <v>47</v>
      </c>
      <c r="B48" s="1" t="s">
        <v>973</v>
      </c>
      <c r="C48" s="1" t="s">
        <v>795</v>
      </c>
      <c r="D48" s="1" t="s">
        <v>1494</v>
      </c>
      <c r="F48" s="1" t="s">
        <v>8</v>
      </c>
      <c r="G48" s="1" t="s">
        <v>8</v>
      </c>
      <c r="H48" s="1" t="s">
        <v>8</v>
      </c>
      <c r="I48" s="1" t="s">
        <v>8</v>
      </c>
      <c r="J48" s="1" t="s">
        <v>1732</v>
      </c>
    </row>
    <row r="49" customFormat="false" ht="15" hidden="false" customHeight="false" outlineLevel="0" collapsed="false">
      <c r="A49" s="1" t="n">
        <v>48</v>
      </c>
      <c r="B49" s="1" t="s">
        <v>976</v>
      </c>
      <c r="C49" s="1" t="s">
        <v>795</v>
      </c>
      <c r="D49" s="1" t="s">
        <v>1494</v>
      </c>
      <c r="F49" s="1" t="s">
        <v>8</v>
      </c>
      <c r="G49" s="1" t="s">
        <v>8</v>
      </c>
      <c r="H49" s="1" t="s">
        <v>8</v>
      </c>
      <c r="I49" s="1" t="s">
        <v>8</v>
      </c>
      <c r="J49" s="1" t="s">
        <v>1732</v>
      </c>
    </row>
    <row r="50" customFormat="false" ht="15" hidden="false" customHeight="false" outlineLevel="0" collapsed="false">
      <c r="A50" s="1" t="n">
        <v>49</v>
      </c>
      <c r="B50" s="1" t="s">
        <v>979</v>
      </c>
      <c r="C50" s="1" t="s">
        <v>795</v>
      </c>
      <c r="D50" s="1" t="s">
        <v>1494</v>
      </c>
      <c r="F50" s="1" t="s">
        <v>8</v>
      </c>
      <c r="G50" s="1" t="s">
        <v>8</v>
      </c>
      <c r="H50" s="1" t="s">
        <v>8</v>
      </c>
      <c r="I50" s="1" t="s">
        <v>8</v>
      </c>
      <c r="J50" s="1" t="s">
        <v>1732</v>
      </c>
    </row>
    <row r="51" customFormat="false" ht="15" hidden="false" customHeight="false" outlineLevel="0" collapsed="false">
      <c r="A51" s="1" t="n">
        <v>50</v>
      </c>
      <c r="B51" s="1" t="s">
        <v>981</v>
      </c>
      <c r="C51" s="1" t="s">
        <v>795</v>
      </c>
      <c r="D51" s="1" t="s">
        <v>1494</v>
      </c>
      <c r="F51" s="1" t="s">
        <v>8</v>
      </c>
      <c r="G51" s="1" t="s">
        <v>8</v>
      </c>
      <c r="H51" s="1" t="s">
        <v>8</v>
      </c>
      <c r="I51" s="1" t="s">
        <v>8</v>
      </c>
      <c r="J51" s="1" t="s">
        <v>1732</v>
      </c>
    </row>
    <row r="52" customFormat="false" ht="15" hidden="false" customHeight="false" outlineLevel="0" collapsed="false">
      <c r="A52" s="1" t="n">
        <v>51</v>
      </c>
      <c r="B52" s="1" t="s">
        <v>983</v>
      </c>
      <c r="C52" s="1" t="s">
        <v>795</v>
      </c>
      <c r="D52" s="1" t="s">
        <v>1494</v>
      </c>
      <c r="F52" s="1" t="s">
        <v>8</v>
      </c>
      <c r="G52" s="1" t="s">
        <v>8</v>
      </c>
      <c r="H52" s="1" t="s">
        <v>8</v>
      </c>
      <c r="I52" s="1" t="s">
        <v>8</v>
      </c>
      <c r="J52" s="1" t="s">
        <v>1732</v>
      </c>
    </row>
    <row r="53" customFormat="false" ht="15" hidden="false" customHeight="false" outlineLevel="0" collapsed="false">
      <c r="A53" s="1" t="n">
        <v>52</v>
      </c>
      <c r="B53" s="1" t="s">
        <v>986</v>
      </c>
      <c r="C53" s="1" t="s">
        <v>795</v>
      </c>
      <c r="D53" s="1" t="s">
        <v>1494</v>
      </c>
      <c r="F53" s="1" t="s">
        <v>8</v>
      </c>
      <c r="G53" s="1" t="s">
        <v>8</v>
      </c>
      <c r="H53" s="1" t="s">
        <v>8</v>
      </c>
      <c r="I53" s="1" t="s">
        <v>8</v>
      </c>
      <c r="J53" s="1" t="s">
        <v>1732</v>
      </c>
    </row>
    <row r="54" customFormat="false" ht="15" hidden="false" customHeight="false" outlineLevel="0" collapsed="false">
      <c r="A54" s="1" t="n">
        <v>53</v>
      </c>
      <c r="B54" s="1" t="s">
        <v>990</v>
      </c>
      <c r="C54" s="1" t="s">
        <v>795</v>
      </c>
      <c r="D54" s="1" t="s">
        <v>1494</v>
      </c>
      <c r="F54" s="1" t="s">
        <v>8</v>
      </c>
      <c r="G54" s="1" t="s">
        <v>8</v>
      </c>
      <c r="H54" s="1" t="s">
        <v>8</v>
      </c>
      <c r="I54" s="1" t="s">
        <v>8</v>
      </c>
      <c r="J54" s="1" t="s">
        <v>1732</v>
      </c>
    </row>
    <row r="55" customFormat="false" ht="15" hidden="false" customHeight="false" outlineLevel="0" collapsed="false">
      <c r="A55" s="1" t="n">
        <v>54</v>
      </c>
      <c r="B55" s="1" t="s">
        <v>993</v>
      </c>
      <c r="C55" s="1" t="s">
        <v>795</v>
      </c>
      <c r="D55" s="1" t="s">
        <v>1494</v>
      </c>
      <c r="F55" s="1" t="s">
        <v>8</v>
      </c>
      <c r="G55" s="1" t="s">
        <v>8</v>
      </c>
      <c r="H55" s="1" t="s">
        <v>8</v>
      </c>
      <c r="I55" s="1" t="s">
        <v>8</v>
      </c>
      <c r="J55" s="1" t="s">
        <v>1732</v>
      </c>
    </row>
    <row r="56" customFormat="false" ht="15" hidden="false" customHeight="false" outlineLevel="0" collapsed="false">
      <c r="A56" s="1" t="n">
        <v>55</v>
      </c>
      <c r="B56" s="1" t="s">
        <v>996</v>
      </c>
      <c r="C56" s="1" t="s">
        <v>795</v>
      </c>
      <c r="D56" s="1" t="s">
        <v>1494</v>
      </c>
      <c r="F56" s="1" t="s">
        <v>8</v>
      </c>
      <c r="G56" s="1" t="s">
        <v>8</v>
      </c>
      <c r="H56" s="1" t="s">
        <v>8</v>
      </c>
      <c r="I56" s="1" t="s">
        <v>8</v>
      </c>
      <c r="J56" s="1" t="s">
        <v>1732</v>
      </c>
    </row>
    <row r="57" customFormat="false" ht="15" hidden="false" customHeight="false" outlineLevel="0" collapsed="false">
      <c r="A57" s="1" t="n">
        <v>56</v>
      </c>
      <c r="B57" s="1" t="s">
        <v>175</v>
      </c>
      <c r="C57" s="1" t="s">
        <v>795</v>
      </c>
      <c r="D57" s="1" t="s">
        <v>1494</v>
      </c>
      <c r="F57" s="1" t="s">
        <v>8</v>
      </c>
      <c r="G57" s="1" t="s">
        <v>8</v>
      </c>
      <c r="H57" s="1" t="s">
        <v>8</v>
      </c>
      <c r="I57" s="1" t="s">
        <v>8</v>
      </c>
      <c r="J57" s="1" t="s">
        <v>1732</v>
      </c>
    </row>
    <row r="58" customFormat="false" ht="15" hidden="false" customHeight="false" outlineLevel="0" collapsed="false">
      <c r="A58" s="1" t="n">
        <v>57</v>
      </c>
      <c r="B58" s="1" t="s">
        <v>177</v>
      </c>
      <c r="C58" s="1" t="s">
        <v>835</v>
      </c>
      <c r="D58" s="1" t="s">
        <v>1653</v>
      </c>
      <c r="F58" s="1" t="s">
        <v>1460</v>
      </c>
      <c r="G58" s="1" t="s">
        <v>8</v>
      </c>
      <c r="H58" s="1" t="s">
        <v>8</v>
      </c>
      <c r="I58" s="1" t="s">
        <v>8</v>
      </c>
      <c r="J58" s="1" t="s">
        <v>1733</v>
      </c>
    </row>
    <row r="59" customFormat="false" ht="15" hidden="false" customHeight="false" outlineLevel="0" collapsed="false">
      <c r="A59" s="1" t="n">
        <v>58</v>
      </c>
      <c r="B59" s="1" t="s">
        <v>179</v>
      </c>
      <c r="C59" s="1" t="s">
        <v>795</v>
      </c>
      <c r="D59" s="1" t="s">
        <v>1494</v>
      </c>
      <c r="F59" s="1" t="s">
        <v>8</v>
      </c>
      <c r="G59" s="1" t="s">
        <v>8</v>
      </c>
      <c r="H59" s="1" t="s">
        <v>8</v>
      </c>
      <c r="I59" s="1" t="s">
        <v>8</v>
      </c>
      <c r="J59" s="1" t="s">
        <v>1732</v>
      </c>
    </row>
    <row r="60" customFormat="false" ht="15" hidden="false" customHeight="false" outlineLevel="0" collapsed="false">
      <c r="A60" s="1" t="n">
        <v>59</v>
      </c>
      <c r="B60" s="1" t="s">
        <v>181</v>
      </c>
      <c r="C60" s="1" t="s">
        <v>795</v>
      </c>
      <c r="D60" s="1" t="s">
        <v>1735</v>
      </c>
      <c r="F60" s="1" t="s">
        <v>8</v>
      </c>
      <c r="G60" s="1" t="s">
        <v>8</v>
      </c>
      <c r="H60" s="1" t="s">
        <v>8</v>
      </c>
      <c r="I60" s="1" t="s">
        <v>8</v>
      </c>
      <c r="J60" s="1" t="s">
        <v>1732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24"/>
    <col collapsed="false" customWidth="true" hidden="false" outlineLevel="0" max="2" min="2" style="1" width="38"/>
    <col collapsed="false" customWidth="true" hidden="false" outlineLevel="0" max="3" min="3" style="1" width="54"/>
    <col collapsed="false" customWidth="true" hidden="false" outlineLevel="0" max="4" min="4" style="1" width="42"/>
  </cols>
  <sheetData>
    <row r="1" customFormat="false" ht="36" hidden="false" customHeight="true" outlineLevel="0" collapsed="false">
      <c r="A1" s="9" t="s">
        <v>1720</v>
      </c>
      <c r="B1" s="11" t="s">
        <v>1736</v>
      </c>
      <c r="C1" s="11" t="s">
        <v>1737</v>
      </c>
      <c r="D1" s="11" t="s">
        <v>1738</v>
      </c>
      <c r="E1" s="11"/>
      <c r="F1" s="11"/>
      <c r="G1" s="11"/>
      <c r="H1" s="11"/>
      <c r="I1" s="11"/>
      <c r="J1" s="11"/>
      <c r="K1" s="11"/>
      <c r="L1" s="11"/>
      <c r="M1" s="11"/>
      <c r="N1" s="11"/>
      <c r="O1" s="11"/>
      <c r="P1" s="11"/>
      <c r="Q1" s="11"/>
      <c r="R1" s="11"/>
      <c r="S1" s="11"/>
      <c r="T1" s="11"/>
      <c r="U1" s="11"/>
      <c r="V1" s="11"/>
      <c r="W1" s="11"/>
      <c r="X1" s="11"/>
      <c r="Y1" s="11"/>
      <c r="Z1" s="11"/>
    </row>
    <row r="2" customFormat="false" ht="15" hidden="false" customHeight="false" outlineLevel="0" collapsed="false">
      <c r="A2" s="1" t="s">
        <v>810</v>
      </c>
      <c r="B2" s="1" t="s">
        <v>1739</v>
      </c>
      <c r="C2" s="1" t="s">
        <v>1740</v>
      </c>
      <c r="D2" s="1" t="s">
        <v>1741</v>
      </c>
    </row>
    <row r="3" customFormat="false" ht="15" hidden="false" customHeight="false" outlineLevel="0" collapsed="false">
      <c r="A3" s="1" t="s">
        <v>1471</v>
      </c>
      <c r="B3" s="1" t="s">
        <v>1742</v>
      </c>
      <c r="C3" s="1" t="s">
        <v>1743</v>
      </c>
      <c r="D3" s="1" t="s">
        <v>1744</v>
      </c>
    </row>
    <row r="4" customFormat="false" ht="15" hidden="false" customHeight="false" outlineLevel="0" collapsed="false">
      <c r="A4" s="1" t="s">
        <v>1472</v>
      </c>
      <c r="B4" s="1" t="s">
        <v>1745</v>
      </c>
      <c r="C4" s="1" t="s">
        <v>1746</v>
      </c>
      <c r="D4" s="1" t="s">
        <v>1747</v>
      </c>
    </row>
    <row r="5" customFormat="false" ht="15" hidden="false" customHeight="false" outlineLevel="0" collapsed="false">
      <c r="A5" s="1" t="s">
        <v>20</v>
      </c>
      <c r="B5" s="1" t="s">
        <v>1748</v>
      </c>
      <c r="C5" s="1" t="s">
        <v>1749</v>
      </c>
      <c r="D5" s="1" t="s">
        <v>1750</v>
      </c>
    </row>
    <row r="6" customFormat="false" ht="15" hidden="false" customHeight="false" outlineLevel="0" collapsed="false">
      <c r="A6" s="1" t="s">
        <v>22</v>
      </c>
      <c r="B6" s="1" t="s">
        <v>1751</v>
      </c>
      <c r="C6" s="1" t="s">
        <v>1752</v>
      </c>
      <c r="D6" s="1" t="s">
        <v>1753</v>
      </c>
    </row>
    <row r="7" customFormat="false" ht="15" hidden="false" customHeight="false" outlineLevel="0" collapsed="false">
      <c r="A7" s="1" t="s">
        <v>19</v>
      </c>
      <c r="B7" s="1" t="s">
        <v>1754</v>
      </c>
      <c r="C7" s="1" t="s">
        <v>1755</v>
      </c>
      <c r="D7" s="1" t="s">
        <v>1756</v>
      </c>
    </row>
    <row r="8" customFormat="false" ht="15" hidden="false" customHeight="false" outlineLevel="0" collapsed="false">
      <c r="A8" s="1" t="s">
        <v>795</v>
      </c>
      <c r="B8" s="1" t="s">
        <v>1757</v>
      </c>
      <c r="C8" s="1" t="s">
        <v>1758</v>
      </c>
      <c r="D8" s="1" t="s">
        <v>1759</v>
      </c>
    </row>
    <row r="9" customFormat="false" ht="15" hidden="false" customHeight="false" outlineLevel="0" collapsed="false">
      <c r="A9" s="1" t="s">
        <v>835</v>
      </c>
      <c r="B9" s="1" t="s">
        <v>1760</v>
      </c>
      <c r="C9" s="1" t="s">
        <v>1761</v>
      </c>
      <c r="D9" s="1" t="s">
        <v>1762</v>
      </c>
    </row>
    <row r="10" customFormat="false" ht="15" hidden="false" customHeight="false" outlineLevel="0" collapsed="false">
      <c r="A10" s="1" t="s">
        <v>870</v>
      </c>
      <c r="B10" s="1" t="s">
        <v>1763</v>
      </c>
      <c r="C10" s="1" t="s">
        <v>1764</v>
      </c>
      <c r="D10" s="1" t="s">
        <v>1765</v>
      </c>
    </row>
    <row r="11" customFormat="false" ht="15" hidden="false" customHeight="false" outlineLevel="0" collapsed="false">
      <c r="A11" s="1" t="s">
        <v>1766</v>
      </c>
      <c r="B11" s="1" t="s">
        <v>1767</v>
      </c>
      <c r="C11" s="1" t="s">
        <v>1768</v>
      </c>
      <c r="D11" s="1" t="s">
        <v>1769</v>
      </c>
    </row>
    <row r="12" customFormat="false" ht="15" hidden="false" customHeight="false" outlineLevel="0" collapsed="false">
      <c r="A12" s="1" t="s">
        <v>1770</v>
      </c>
      <c r="B12" s="1" t="s">
        <v>1771</v>
      </c>
      <c r="C12" s="1" t="s">
        <v>1772</v>
      </c>
      <c r="D12" s="1" t="s">
        <v>1773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sheetData>
    <row r="1" customFormat="false" ht="36" hidden="false" customHeight="true" outlineLevel="0" collapsed="false">
      <c r="A1" s="9" t="s">
        <v>807</v>
      </c>
      <c r="B1" s="11" t="s">
        <v>1774</v>
      </c>
      <c r="C1" s="11"/>
      <c r="D1" s="11" t="s">
        <v>810</v>
      </c>
      <c r="E1" s="11" t="s">
        <v>1774</v>
      </c>
      <c r="F1" s="11"/>
      <c r="G1" s="11" t="s">
        <v>1463</v>
      </c>
      <c r="H1" s="11" t="s">
        <v>1462</v>
      </c>
      <c r="I1" s="11"/>
      <c r="J1" s="11" t="s">
        <v>1724</v>
      </c>
      <c r="K1" s="11" t="s">
        <v>7</v>
      </c>
      <c r="L1" s="11"/>
      <c r="M1" s="11"/>
      <c r="N1" s="11"/>
      <c r="O1" s="11"/>
      <c r="P1" s="11"/>
      <c r="Q1" s="11"/>
      <c r="R1" s="11"/>
      <c r="S1" s="11"/>
      <c r="T1" s="11"/>
      <c r="U1" s="11"/>
      <c r="V1" s="11"/>
      <c r="W1" s="11"/>
      <c r="X1" s="11"/>
      <c r="Y1" s="11"/>
      <c r="Z1" s="11"/>
    </row>
    <row r="2" customFormat="false" ht="15" hidden="false" customHeight="false" outlineLevel="0" collapsed="false">
      <c r="A2" s="1" t="n">
        <v>2020</v>
      </c>
      <c r="B2" s="1" t="n">
        <f aca="false">COUNTIFS(Gold_Standard_Register!$C$2:$C$59,A2,Gold_Standard_Register!$F$2:$F$59,"Include")</f>
        <v>1</v>
      </c>
      <c r="D2" s="1" t="s">
        <v>971</v>
      </c>
      <c r="E2" s="1" t="n">
        <f aca="false">COUNTIFS(Gold_Standard_Register!$H$2:$H$59,D2,Gold_Standard_Register!$F$2:$F$59,"Include")</f>
        <v>1</v>
      </c>
      <c r="G2" s="1" t="s">
        <v>20</v>
      </c>
      <c r="H2" s="1" t="n">
        <f aca="false">SUMIFS(Evaluation_Matrix_V4!$E$2:$E$59,Evaluation_Matrix_V4!$D$2:$D$59,1)</f>
        <v>32</v>
      </c>
      <c r="J2" s="1" t="s">
        <v>795</v>
      </c>
      <c r="K2" s="1" t="n">
        <f aca="false">COUNTIF(Gold_Standard_Register!$F$2:$F$59,J2)</f>
        <v>50</v>
      </c>
    </row>
    <row r="3" customFormat="false" ht="15" hidden="false" customHeight="false" outlineLevel="0" collapsed="false">
      <c r="A3" s="1" t="n">
        <v>2021</v>
      </c>
      <c r="B3" s="1" t="n">
        <f aca="false">COUNTIFS(Gold_Standard_Register!$C$2:$C$59,A3,Gold_Standard_Register!$F$2:$F$59,"Include")</f>
        <v>4</v>
      </c>
      <c r="D3" s="1" t="s">
        <v>915</v>
      </c>
      <c r="E3" s="1" t="n">
        <f aca="false">COUNTIFS(Gold_Standard_Register!$H$2:$H$59,D3,Gold_Standard_Register!$F$2:$F$59,"Include")</f>
        <v>1</v>
      </c>
      <c r="G3" s="1" t="s">
        <v>19</v>
      </c>
      <c r="H3" s="1" t="n">
        <f aca="false">SUMIFS(Evaluation_Matrix_V4!$F$2:$F$59,Evaluation_Matrix_V4!$D$2:$D$59,1)</f>
        <v>22</v>
      </c>
      <c r="J3" s="1" t="s">
        <v>835</v>
      </c>
      <c r="K3" s="1" t="n">
        <f aca="false">COUNTIF(Gold_Standard_Register!$F$2:$F$59,J3)</f>
        <v>5</v>
      </c>
    </row>
    <row r="4" customFormat="false" ht="15" hidden="false" customHeight="false" outlineLevel="0" collapsed="false">
      <c r="A4" s="1" t="n">
        <v>2022</v>
      </c>
      <c r="B4" s="1" t="n">
        <f aca="false">COUNTIFS(Gold_Standard_Register!$C$2:$C$59,A4,Gold_Standard_Register!$F$2:$F$59,"Include")</f>
        <v>5</v>
      </c>
      <c r="D4" s="1" t="s">
        <v>919</v>
      </c>
      <c r="E4" s="1" t="n">
        <f aca="false">COUNTIFS(Gold_Standard_Register!$H$2:$H$59,D4,Gold_Standard_Register!$F$2:$F$59,"Include")</f>
        <v>1</v>
      </c>
      <c r="G4" s="1" t="s">
        <v>22</v>
      </c>
      <c r="H4" s="1" t="n">
        <f aca="false">SUMIFS(Evaluation_Matrix_V4!$G$2:$G$59,Evaluation_Matrix_V4!$D$2:$D$59,1)</f>
        <v>15</v>
      </c>
      <c r="J4" s="1" t="s">
        <v>870</v>
      </c>
      <c r="K4" s="1" t="n">
        <f aca="false">COUNTIF(Gold_Standard_Register!$F$2:$F$59,J4)</f>
        <v>2</v>
      </c>
    </row>
    <row r="5" customFormat="false" ht="15" hidden="false" customHeight="false" outlineLevel="0" collapsed="false">
      <c r="A5" s="1" t="n">
        <v>2023</v>
      </c>
      <c r="B5" s="1" t="n">
        <f aca="false">COUNTIFS(Gold_Standard_Register!$C$2:$C$59,A5,Gold_Standard_Register!$F$2:$F$59,"Include")</f>
        <v>3</v>
      </c>
      <c r="D5" s="1" t="s">
        <v>980</v>
      </c>
      <c r="E5" s="1" t="n">
        <f aca="false">COUNTIFS(Gold_Standard_Register!$H$2:$H$59,D5,Gold_Standard_Register!$F$2:$F$59,"Include")</f>
        <v>1</v>
      </c>
      <c r="G5" s="1" t="s">
        <v>21</v>
      </c>
      <c r="H5" s="1" t="n">
        <f aca="false">SUMIFS(Evaluation_Matrix_V4!$H$2:$H$59,Evaluation_Matrix_V4!$D$2:$D$59,1)</f>
        <v>9</v>
      </c>
      <c r="J5" s="1" t="s">
        <v>297</v>
      </c>
      <c r="K5" s="1" t="n">
        <f aca="false">COUNTIF(Gold_Standard_Register!$F$2:$F$59,J5)</f>
        <v>1</v>
      </c>
    </row>
    <row r="6" customFormat="false" ht="15" hidden="false" customHeight="false" outlineLevel="0" collapsed="false">
      <c r="A6" s="1" t="n">
        <v>2024</v>
      </c>
      <c r="B6" s="1" t="n">
        <f aca="false">COUNTIFS(Gold_Standard_Register!$C$2:$C$59,A6,Gold_Standard_Register!$F$2:$F$59,"Include")</f>
        <v>13</v>
      </c>
      <c r="D6" s="1" t="s">
        <v>929</v>
      </c>
      <c r="E6" s="1" t="n">
        <f aca="false">COUNTIFS(Gold_Standard_Register!$H$2:$H$59,D6,Gold_Standard_Register!$F$2:$F$59,"Include")</f>
        <v>1</v>
      </c>
    </row>
    <row r="7" customFormat="false" ht="15" hidden="false" customHeight="false" outlineLevel="0" collapsed="false">
      <c r="A7" s="1" t="n">
        <v>2025</v>
      </c>
      <c r="B7" s="1" t="n">
        <f aca="false">COUNTIFS(Gold_Standard_Register!$C$2:$C$59,A7,Gold_Standard_Register!$F$2:$F$59,"Include")</f>
        <v>16</v>
      </c>
      <c r="D7" s="1" t="s">
        <v>941</v>
      </c>
      <c r="E7" s="1" t="n">
        <f aca="false">COUNTIFS(Gold_Standard_Register!$H$2:$H$59,D7,Gold_Standard_Register!$F$2:$F$59,"Include")</f>
        <v>1</v>
      </c>
    </row>
    <row r="8" customFormat="false" ht="15" hidden="false" customHeight="false" outlineLevel="0" collapsed="false">
      <c r="A8" s="1" t="n">
        <v>2026</v>
      </c>
      <c r="B8" s="1" t="n">
        <f aca="false">COUNTIFS(Gold_Standard_Register!$C$2:$C$59,A8,Gold_Standard_Register!$F$2:$F$59,"Include")</f>
        <v>8</v>
      </c>
      <c r="D8" s="1" t="s">
        <v>960</v>
      </c>
      <c r="E8" s="1" t="n">
        <f aca="false">COUNTIFS(Gold_Standard_Register!$H$2:$H$59,D8,Gold_Standard_Register!$F$2:$F$59,"Include")</f>
        <v>1</v>
      </c>
    </row>
    <row r="9" customFormat="false" ht="15" hidden="false" customHeight="false" outlineLevel="0" collapsed="false">
      <c r="D9" s="1" t="s">
        <v>945</v>
      </c>
      <c r="E9" s="1" t="n">
        <f aca="false">COUNTIFS(Gold_Standard_Register!$H$2:$H$59,D9,Gold_Standard_Register!$F$2:$F$59,"Include")</f>
        <v>1</v>
      </c>
    </row>
    <row r="10" customFormat="false" ht="15" hidden="false" customHeight="false" outlineLevel="0" collapsed="false">
      <c r="D10" s="1" t="s">
        <v>844</v>
      </c>
      <c r="E10" s="1" t="n">
        <f aca="false">COUNTIFS(Gold_Standard_Register!$H$2:$H$59,D10,Gold_Standard_Register!$F$2:$F$59,"Include")</f>
        <v>1</v>
      </c>
    </row>
    <row r="11" customFormat="false" ht="15" hidden="false" customHeight="false" outlineLevel="0" collapsed="false">
      <c r="D11" s="1" t="s">
        <v>922</v>
      </c>
      <c r="E11" s="1" t="n">
        <f aca="false">COUNTIFS(Gold_Standard_Register!$H$2:$H$59,D11,Gold_Standard_Register!$F$2:$F$59,"Include")</f>
        <v>1</v>
      </c>
    </row>
    <row r="12" customFormat="false" ht="15" hidden="false" customHeight="false" outlineLevel="0" collapsed="false">
      <c r="D12" s="1" t="s">
        <v>925</v>
      </c>
      <c r="E12" s="1" t="n">
        <f aca="false">COUNTIFS(Gold_Standard_Register!$H$2:$H$59,D12,Gold_Standard_Register!$F$2:$F$59,"Include")</f>
        <v>1</v>
      </c>
    </row>
    <row r="13" customFormat="false" ht="15" hidden="false" customHeight="false" outlineLevel="0" collapsed="false">
      <c r="D13" s="1" t="s">
        <v>994</v>
      </c>
      <c r="E13" s="1" t="n">
        <f aca="false">COUNTIFS(Gold_Standard_Register!$H$2:$H$59,D13,Gold_Standard_Register!$F$2:$F$59,"Include")</f>
        <v>1</v>
      </c>
    </row>
    <row r="14" customFormat="false" ht="15" hidden="false" customHeight="false" outlineLevel="0" collapsed="false">
      <c r="D14" s="1" t="s">
        <v>849</v>
      </c>
      <c r="E14" s="1" t="n">
        <f aca="false">COUNTIFS(Gold_Standard_Register!$H$2:$H$59,D14,Gold_Standard_Register!$F$2:$F$59,"Include")</f>
        <v>1</v>
      </c>
    </row>
    <row r="15" customFormat="false" ht="15" hidden="false" customHeight="false" outlineLevel="0" collapsed="false">
      <c r="D15" s="1" t="s">
        <v>861</v>
      </c>
      <c r="E15" s="1" t="n">
        <f aca="false">COUNTIFS(Gold_Standard_Register!$H$2:$H$59,D15,Gold_Standard_Register!$F$2:$F$59,"Include")</f>
        <v>1</v>
      </c>
    </row>
    <row r="16" customFormat="false" ht="15" hidden="false" customHeight="false" outlineLevel="0" collapsed="false">
      <c r="D16" s="1" t="s">
        <v>1003</v>
      </c>
      <c r="E16" s="1" t="n">
        <f aca="false">COUNTIFS(Gold_Standard_Register!$H$2:$H$59,D16,Gold_Standard_Register!$F$2:$F$59,"Include")</f>
        <v>1</v>
      </c>
    </row>
    <row r="17" customFormat="false" ht="15" hidden="false" customHeight="false" outlineLevel="0" collapsed="false">
      <c r="D17" s="1" t="s">
        <v>910</v>
      </c>
      <c r="E17" s="1" t="n">
        <f aca="false">COUNTIFS(Gold_Standard_Register!$H$2:$H$59,D17,Gold_Standard_Register!$F$2:$F$59,"Include")</f>
        <v>1</v>
      </c>
    </row>
    <row r="18" customFormat="false" ht="15" hidden="false" customHeight="false" outlineLevel="0" collapsed="false">
      <c r="D18" s="1" t="s">
        <v>982</v>
      </c>
      <c r="E18" s="1" t="n">
        <f aca="false">COUNTIFS(Gold_Standard_Register!$H$2:$H$59,D18,Gold_Standard_Register!$F$2:$F$59,"Include")</f>
        <v>1</v>
      </c>
    </row>
    <row r="19" customFormat="false" ht="15" hidden="false" customHeight="false" outlineLevel="0" collapsed="false">
      <c r="D19" s="1" t="s">
        <v>822</v>
      </c>
      <c r="E19" s="1" t="n">
        <f aca="false">COUNTIFS(Gold_Standard_Register!$H$2:$H$59,D19,Gold_Standard_Register!$F$2:$F$59,"Include")</f>
        <v>2</v>
      </c>
    </row>
    <row r="20" customFormat="false" ht="15" hidden="false" customHeight="false" outlineLevel="0" collapsed="false">
      <c r="D20" s="1" t="s">
        <v>997</v>
      </c>
      <c r="E20" s="1" t="n">
        <f aca="false">COUNTIFS(Gold_Standard_Register!$H$2:$H$59,D20,Gold_Standard_Register!$F$2:$F$59,"Include")</f>
        <v>1</v>
      </c>
    </row>
    <row r="21" customFormat="false" ht="15" hidden="false" customHeight="false" outlineLevel="0" collapsed="false">
      <c r="D21" s="1" t="s">
        <v>855</v>
      </c>
      <c r="E21" s="1" t="n">
        <f aca="false">COUNTIFS(Gold_Standard_Register!$H$2:$H$59,D21,Gold_Standard_Register!$F$2:$F$59,"Include")</f>
        <v>2</v>
      </c>
    </row>
    <row r="22" customFormat="false" ht="15" hidden="false" customHeight="false" outlineLevel="0" collapsed="false">
      <c r="D22" s="1" t="s">
        <v>998</v>
      </c>
      <c r="E22" s="1" t="n">
        <f aca="false">COUNTIFS(Gold_Standard_Register!$H$2:$H$59,D22,Gold_Standard_Register!$F$2:$F$59,"Include")</f>
        <v>1</v>
      </c>
    </row>
    <row r="23" customFormat="false" ht="15" hidden="false" customHeight="false" outlineLevel="0" collapsed="false">
      <c r="D23" s="1" t="s">
        <v>883</v>
      </c>
      <c r="E23" s="1" t="n">
        <f aca="false">COUNTIFS(Gold_Standard_Register!$H$2:$H$59,D23,Gold_Standard_Register!$F$2:$F$59,"Include")</f>
        <v>1</v>
      </c>
    </row>
    <row r="24" customFormat="false" ht="15" hidden="false" customHeight="false" outlineLevel="0" collapsed="false">
      <c r="D24" s="1" t="s">
        <v>984</v>
      </c>
      <c r="E24" s="1" t="n">
        <f aca="false">COUNTIFS(Gold_Standard_Register!$H$2:$H$59,D24,Gold_Standard_Register!$F$2:$F$59,"Include")</f>
        <v>1</v>
      </c>
    </row>
    <row r="25" customFormat="false" ht="15" hidden="false" customHeight="false" outlineLevel="0" collapsed="false">
      <c r="D25" s="1" t="s">
        <v>903</v>
      </c>
      <c r="E25" s="1" t="n">
        <f aca="false">COUNTIFS(Gold_Standard_Register!$H$2:$H$59,D25,Gold_Standard_Register!$F$2:$F$59,"Include")</f>
        <v>1</v>
      </c>
    </row>
    <row r="26" customFormat="false" ht="15" hidden="false" customHeight="false" outlineLevel="0" collapsed="false">
      <c r="D26" s="1" t="s">
        <v>867</v>
      </c>
      <c r="E26" s="1" t="n">
        <f aca="false">COUNTIFS(Gold_Standard_Register!$H$2:$H$59,D26,Gold_Standard_Register!$F$2:$F$59,"Include")</f>
        <v>1</v>
      </c>
    </row>
    <row r="27" customFormat="false" ht="15" hidden="false" customHeight="false" outlineLevel="0" collapsed="false">
      <c r="D27" s="1" t="s">
        <v>886</v>
      </c>
      <c r="E27" s="1" t="n">
        <f aca="false">COUNTIFS(Gold_Standard_Register!$H$2:$H$59,D27,Gold_Standard_Register!$F$2:$F$59,"Include")</f>
        <v>1</v>
      </c>
    </row>
    <row r="28" customFormat="false" ht="15" hidden="false" customHeight="false" outlineLevel="0" collapsed="false">
      <c r="D28" s="1" t="s">
        <v>950</v>
      </c>
      <c r="E28" s="1" t="n">
        <f aca="false">COUNTIFS(Gold_Standard_Register!$H$2:$H$59,D28,Gold_Standard_Register!$F$2:$F$59,"Include")</f>
        <v>1</v>
      </c>
    </row>
    <row r="29" customFormat="false" ht="15" hidden="false" customHeight="false" outlineLevel="0" collapsed="false">
      <c r="D29" s="1" t="s">
        <v>974</v>
      </c>
      <c r="E29" s="1" t="n">
        <f aca="false">COUNTIFS(Gold_Standard_Register!$H$2:$H$59,D29,Gold_Standard_Register!$F$2:$F$59,"Include")</f>
        <v>1</v>
      </c>
    </row>
    <row r="30" customFormat="false" ht="15" hidden="false" customHeight="false" outlineLevel="0" collapsed="false">
      <c r="D30" s="1" t="s">
        <v>977</v>
      </c>
      <c r="E30" s="1" t="n">
        <f aca="false">COUNTIFS(Gold_Standard_Register!$H$2:$H$59,D30,Gold_Standard_Register!$F$2:$F$59,"Include")</f>
        <v>1</v>
      </c>
    </row>
    <row r="31" customFormat="false" ht="15" hidden="false" customHeight="false" outlineLevel="0" collapsed="false">
      <c r="D31" s="1" t="s">
        <v>888</v>
      </c>
      <c r="E31" s="1" t="n">
        <f aca="false">COUNTIFS(Gold_Standard_Register!$H$2:$H$59,D31,Gold_Standard_Register!$F$2:$F$59,"Include")</f>
        <v>1</v>
      </c>
    </row>
    <row r="32" customFormat="false" ht="15" hidden="false" customHeight="false" outlineLevel="0" collapsed="false">
      <c r="D32" s="1" t="s">
        <v>963</v>
      </c>
      <c r="E32" s="1" t="n">
        <f aca="false">COUNTIFS(Gold_Standard_Register!$H$2:$H$59,D32,Gold_Standard_Register!$F$2:$F$59,"Include")</f>
        <v>1</v>
      </c>
    </row>
    <row r="33" customFormat="false" ht="15" hidden="false" customHeight="false" outlineLevel="0" collapsed="false">
      <c r="D33" s="1" t="s">
        <v>865</v>
      </c>
      <c r="E33" s="1" t="n">
        <f aca="false">COUNTIFS(Gold_Standard_Register!$H$2:$H$59,D33,Gold_Standard_Register!$F$2:$F$59,"Include")</f>
        <v>1</v>
      </c>
    </row>
    <row r="34" customFormat="false" ht="15" hidden="false" customHeight="false" outlineLevel="0" collapsed="false">
      <c r="D34" s="1" t="s">
        <v>966</v>
      </c>
      <c r="E34" s="1" t="n">
        <f aca="false">COUNTIFS(Gold_Standard_Register!$H$2:$H$59,D34,Gold_Standard_Register!$F$2:$F$59,"Include")</f>
        <v>1</v>
      </c>
    </row>
    <row r="35" customFormat="false" ht="15" hidden="false" customHeight="false" outlineLevel="0" collapsed="false">
      <c r="D35" s="1" t="s">
        <v>893</v>
      </c>
      <c r="E35" s="1" t="n">
        <f aca="false">COUNTIFS(Gold_Standard_Register!$H$2:$H$59,D35,Gold_Standard_Register!$F$2:$F$59,"Include")</f>
        <v>1</v>
      </c>
    </row>
    <row r="36" customFormat="false" ht="15" hidden="false" customHeight="false" outlineLevel="0" collapsed="false">
      <c r="D36" s="1" t="s">
        <v>933</v>
      </c>
      <c r="E36" s="1" t="n">
        <f aca="false">COUNTIFS(Gold_Standard_Register!$H$2:$H$59,D36,Gold_Standard_Register!$F$2:$F$59,"Include")</f>
        <v>2</v>
      </c>
    </row>
    <row r="37" customFormat="false" ht="15" hidden="false" customHeight="false" outlineLevel="0" collapsed="false">
      <c r="D37" s="1" t="s">
        <v>879</v>
      </c>
      <c r="E37" s="1" t="n">
        <f aca="false">COUNTIFS(Gold_Standard_Register!$H$2:$H$59,D37,Gold_Standard_Register!$F$2:$F$59,"Include")</f>
        <v>1</v>
      </c>
    </row>
    <row r="38" customFormat="false" ht="15" hidden="false" customHeight="false" outlineLevel="0" collapsed="false">
      <c r="D38" s="1" t="s">
        <v>831</v>
      </c>
      <c r="E38" s="1" t="n">
        <f aca="false">COUNTIFS(Gold_Standard_Register!$H$2:$H$59,D38,Gold_Standard_Register!$F$2:$F$59,"Include")</f>
        <v>1</v>
      </c>
    </row>
    <row r="39" customFormat="false" ht="15" hidden="false" customHeight="false" outlineLevel="0" collapsed="false">
      <c r="D39" s="1" t="s">
        <v>829</v>
      </c>
      <c r="E39" s="1" t="n">
        <f aca="false">COUNTIFS(Gold_Standard_Register!$H$2:$H$59,D39,Gold_Standard_Register!$F$2:$F$59,"Include")</f>
        <v>1</v>
      </c>
    </row>
    <row r="40" customFormat="false" ht="15" hidden="false" customHeight="false" outlineLevel="0" collapsed="false">
      <c r="D40" s="1" t="s">
        <v>873</v>
      </c>
      <c r="E40" s="1" t="n">
        <f aca="false">COUNTIFS(Gold_Standard_Register!$H$2:$H$59,D40,Gold_Standard_Register!$F$2:$F$59,"Include")</f>
        <v>1</v>
      </c>
    </row>
    <row r="41" customFormat="false" ht="15" hidden="false" customHeight="false" outlineLevel="0" collapsed="false">
      <c r="D41" s="1" t="s">
        <v>987</v>
      </c>
      <c r="E41" s="1" t="n">
        <f aca="false">COUNTIFS(Gold_Standard_Register!$H$2:$H$59,D41,Gold_Standard_Register!$F$2:$F$59,"Include")</f>
        <v>1</v>
      </c>
    </row>
    <row r="42" customFormat="false" ht="15" hidden="false" customHeight="false" outlineLevel="0" collapsed="false">
      <c r="D42" s="1" t="s">
        <v>907</v>
      </c>
      <c r="E42" s="1" t="n">
        <f aca="false">COUNTIFS(Gold_Standard_Register!$H$2:$H$59,D42,Gold_Standard_Register!$F$2:$F$59,"Include")</f>
        <v>1</v>
      </c>
    </row>
    <row r="43" customFormat="false" ht="15" hidden="false" customHeight="false" outlineLevel="0" collapsed="false">
      <c r="D43" s="1" t="s">
        <v>957</v>
      </c>
      <c r="E43" s="1" t="n">
        <f aca="false">COUNTIFS(Gold_Standard_Register!$H$2:$H$59,D43,Gold_Standard_Register!$F$2:$F$59,"Include")</f>
        <v>1</v>
      </c>
    </row>
    <row r="44" customFormat="false" ht="15" hidden="false" customHeight="false" outlineLevel="0" collapsed="false">
      <c r="D44" s="1" t="s">
        <v>936</v>
      </c>
      <c r="E44" s="1" t="n">
        <f aca="false">COUNTIFS(Gold_Standard_Register!$H$2:$H$59,D44,Gold_Standard_Register!$F$2:$F$59,"Include")</f>
        <v>1</v>
      </c>
    </row>
    <row r="45" customFormat="false" ht="15" hidden="false" customHeight="false" outlineLevel="0" collapsed="false">
      <c r="D45" s="1" t="s">
        <v>897</v>
      </c>
      <c r="E45" s="1" t="n">
        <f aca="false">COUNTIFS(Gold_Standard_Register!$H$2:$H$59,D45,Gold_Standard_Register!$F$2:$F$59,"Include")</f>
        <v>1</v>
      </c>
    </row>
    <row r="46" customFormat="false" ht="15" hidden="false" customHeight="false" outlineLevel="0" collapsed="false">
      <c r="D46" s="1" t="s">
        <v>953</v>
      </c>
      <c r="E46" s="1" t="n">
        <f aca="false">COUNTIFS(Gold_Standard_Register!$H$2:$H$59,D46,Gold_Standard_Register!$F$2:$F$59,"Include")</f>
        <v>1</v>
      </c>
    </row>
    <row r="47" customFormat="false" ht="15" hidden="false" customHeight="false" outlineLevel="0" collapsed="false">
      <c r="D47" s="1" t="s">
        <v>991</v>
      </c>
      <c r="E47" s="1" t="n">
        <f aca="false">COUNTIFS(Gold_Standard_Register!$H$2:$H$59,D47,Gold_Standard_Register!$F$2:$F$59,"Include")</f>
        <v>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18"/>
    <col collapsed="false" customWidth="true" hidden="false" outlineLevel="0" max="5" min="4" style="1" width="14"/>
    <col collapsed="false" customWidth="true" hidden="false" outlineLevel="0" max="6" min="6" style="1" width="18"/>
    <col collapsed="false" customWidth="true" hidden="false" outlineLevel="0" max="7" min="7" style="1" width="20"/>
    <col collapsed="false" customWidth="true" hidden="false" outlineLevel="0" max="9" min="8" style="1" width="18"/>
    <col collapsed="false" customWidth="true" hidden="false" outlineLevel="0" max="11" min="10" style="1" width="20"/>
    <col collapsed="false" customWidth="true" hidden="false" outlineLevel="0" max="15" min="12" style="1" width="18"/>
    <col collapsed="false" customWidth="true" hidden="false" outlineLevel="0" max="16" min="16" style="1" width="14"/>
    <col collapsed="false" customWidth="true" hidden="false" outlineLevel="0" max="17" min="17" style="1" width="20"/>
    <col collapsed="false" customWidth="true" hidden="false" outlineLevel="0" max="18" min="18" style="1" width="24"/>
    <col collapsed="false" customWidth="true" hidden="false" outlineLevel="0" max="19" min="19" style="1" width="34"/>
  </cols>
  <sheetData>
    <row r="1" customFormat="false" ht="36" hidden="false" customHeight="true" outlineLevel="0" collapsed="false">
      <c r="A1" s="6" t="s">
        <v>805</v>
      </c>
      <c r="B1" s="6" t="s">
        <v>1012</v>
      </c>
      <c r="C1" s="6" t="s">
        <v>1469</v>
      </c>
      <c r="D1" s="6" t="s">
        <v>1698</v>
      </c>
      <c r="E1" s="6" t="s">
        <v>20</v>
      </c>
      <c r="F1" s="6" t="s">
        <v>19</v>
      </c>
      <c r="G1" s="6" t="s">
        <v>22</v>
      </c>
      <c r="H1" s="6" t="s">
        <v>21</v>
      </c>
      <c r="I1" s="6" t="s">
        <v>951</v>
      </c>
      <c r="J1" s="6" t="s">
        <v>988</v>
      </c>
      <c r="K1" s="6" t="s">
        <v>1687</v>
      </c>
      <c r="L1" s="6" t="s">
        <v>1686</v>
      </c>
      <c r="M1" s="6" t="s">
        <v>1775</v>
      </c>
      <c r="N1" s="6" t="s">
        <v>1031</v>
      </c>
      <c r="O1" s="6" t="s">
        <v>1032</v>
      </c>
      <c r="P1" s="6" t="s">
        <v>1033</v>
      </c>
      <c r="Q1" s="6" t="s">
        <v>1688</v>
      </c>
      <c r="R1" s="6" t="s">
        <v>1776</v>
      </c>
      <c r="S1" s="6" t="s">
        <v>1777</v>
      </c>
    </row>
    <row r="2" customFormat="false" ht="23.85" hidden="false" customHeight="false" outlineLevel="0" collapsed="false">
      <c r="A2" s="11" t="n">
        <v>1</v>
      </c>
      <c r="B2" s="11" t="s">
        <v>819</v>
      </c>
      <c r="C2" s="11" t="s">
        <v>795</v>
      </c>
      <c r="D2" s="11" t="n">
        <v>1</v>
      </c>
      <c r="E2" s="11" t="n">
        <v>1</v>
      </c>
      <c r="F2" s="11" t="n">
        <v>0</v>
      </c>
      <c r="G2" s="11" t="n">
        <v>0</v>
      </c>
      <c r="H2" s="11" t="n">
        <v>0</v>
      </c>
      <c r="I2" s="11" t="n">
        <v>0</v>
      </c>
      <c r="J2" s="11" t="n">
        <v>0</v>
      </c>
      <c r="K2" s="11" t="n">
        <v>1</v>
      </c>
      <c r="L2" s="11" t="n">
        <v>0</v>
      </c>
      <c r="M2" s="11" t="n">
        <v>0</v>
      </c>
      <c r="N2" s="11" t="n">
        <v>0</v>
      </c>
      <c r="O2" s="11" t="n">
        <v>0</v>
      </c>
      <c r="P2" s="11" t="n">
        <v>0</v>
      </c>
      <c r="Q2" s="11" t="n">
        <v>0</v>
      </c>
      <c r="R2" s="11" t="s">
        <v>20</v>
      </c>
      <c r="S2" s="11" t="s">
        <v>20</v>
      </c>
    </row>
    <row r="3" customFormat="false" ht="23.85" hidden="false" customHeight="false" outlineLevel="0" collapsed="false">
      <c r="A3" s="11" t="n">
        <v>2</v>
      </c>
      <c r="B3" s="11" t="s">
        <v>824</v>
      </c>
      <c r="C3" s="11" t="s">
        <v>795</v>
      </c>
      <c r="D3" s="11" t="n">
        <v>1</v>
      </c>
      <c r="E3" s="11" t="n">
        <v>1</v>
      </c>
      <c r="F3" s="11" t="n">
        <v>0</v>
      </c>
      <c r="G3" s="11" t="n">
        <v>0</v>
      </c>
      <c r="H3" s="11" t="n">
        <v>0</v>
      </c>
      <c r="I3" s="11" t="n">
        <v>0</v>
      </c>
      <c r="J3" s="11" t="n">
        <v>0</v>
      </c>
      <c r="K3" s="11" t="n">
        <v>1</v>
      </c>
      <c r="L3" s="11" t="n">
        <v>0</v>
      </c>
      <c r="M3" s="11" t="n">
        <v>0</v>
      </c>
      <c r="N3" s="11" t="n">
        <v>0</v>
      </c>
      <c r="O3" s="11" t="n">
        <v>0</v>
      </c>
      <c r="P3" s="11" t="n">
        <v>0</v>
      </c>
      <c r="Q3" s="11" t="n">
        <v>0</v>
      </c>
      <c r="R3" s="11" t="s">
        <v>20</v>
      </c>
      <c r="S3" s="11" t="s">
        <v>20</v>
      </c>
    </row>
    <row r="4" customFormat="false" ht="23.85" hidden="false" customHeight="false" outlineLevel="0" collapsed="false">
      <c r="A4" s="11" t="n">
        <v>3</v>
      </c>
      <c r="B4" s="11" t="s">
        <v>828</v>
      </c>
      <c r="C4" s="11" t="s">
        <v>795</v>
      </c>
      <c r="D4" s="11" t="n">
        <v>1</v>
      </c>
      <c r="E4" s="11" t="n">
        <v>1</v>
      </c>
      <c r="F4" s="11" t="n">
        <v>0</v>
      </c>
      <c r="G4" s="11" t="n">
        <v>0</v>
      </c>
      <c r="H4" s="11" t="n">
        <v>0</v>
      </c>
      <c r="I4" s="11" t="n">
        <v>0</v>
      </c>
      <c r="J4" s="11" t="n">
        <v>0</v>
      </c>
      <c r="K4" s="11" t="n">
        <v>0</v>
      </c>
      <c r="L4" s="11" t="n">
        <v>0</v>
      </c>
      <c r="M4" s="11" t="n">
        <v>0</v>
      </c>
      <c r="N4" s="11" t="n">
        <v>0</v>
      </c>
      <c r="O4" s="11" t="n">
        <v>0</v>
      </c>
      <c r="P4" s="11" t="n">
        <v>0</v>
      </c>
      <c r="Q4" s="11" t="n">
        <v>0</v>
      </c>
      <c r="R4" s="11" t="s">
        <v>20</v>
      </c>
      <c r="S4" s="11" t="s">
        <v>20</v>
      </c>
    </row>
    <row r="5" customFormat="false" ht="23.85" hidden="false" customHeight="false" outlineLevel="0" collapsed="false">
      <c r="A5" s="11" t="n">
        <v>4</v>
      </c>
      <c r="B5" s="11" t="s">
        <v>58</v>
      </c>
      <c r="C5" s="11" t="s">
        <v>795</v>
      </c>
      <c r="D5" s="11" t="n">
        <v>1</v>
      </c>
      <c r="E5" s="11" t="n">
        <v>1</v>
      </c>
      <c r="F5" s="11" t="n">
        <v>1</v>
      </c>
      <c r="G5" s="11" t="n">
        <v>0</v>
      </c>
      <c r="H5" s="11" t="n">
        <v>0</v>
      </c>
      <c r="I5" s="11" t="n">
        <v>0</v>
      </c>
      <c r="J5" s="11" t="n">
        <v>0</v>
      </c>
      <c r="K5" s="11" t="n">
        <v>0</v>
      </c>
      <c r="L5" s="11" t="n">
        <v>1</v>
      </c>
      <c r="M5" s="11" t="n">
        <v>0</v>
      </c>
      <c r="N5" s="11" t="n">
        <v>0</v>
      </c>
      <c r="O5" s="11" t="n">
        <v>0</v>
      </c>
      <c r="P5" s="11" t="n">
        <v>0</v>
      </c>
      <c r="Q5" s="11" t="n">
        <v>0</v>
      </c>
      <c r="R5" s="11" t="s">
        <v>20</v>
      </c>
      <c r="S5" s="11" t="s">
        <v>832</v>
      </c>
    </row>
    <row r="6" customFormat="false" ht="23.85" hidden="false" customHeight="false" outlineLevel="0" collapsed="false">
      <c r="A6" s="11" t="n">
        <v>5</v>
      </c>
      <c r="B6" s="11" t="s">
        <v>62</v>
      </c>
      <c r="C6" s="11" t="s">
        <v>835</v>
      </c>
      <c r="D6" s="11" t="n">
        <v>0</v>
      </c>
      <c r="E6" s="11" t="n">
        <v>0</v>
      </c>
      <c r="F6" s="11" t="n">
        <v>1</v>
      </c>
      <c r="G6" s="11" t="n">
        <v>0</v>
      </c>
      <c r="H6" s="11" t="n">
        <v>1</v>
      </c>
      <c r="I6" s="11" t="n">
        <v>0</v>
      </c>
      <c r="J6" s="11" t="n">
        <v>0</v>
      </c>
      <c r="K6" s="11" t="n">
        <v>0</v>
      </c>
      <c r="L6" s="11" t="n">
        <v>0</v>
      </c>
      <c r="M6" s="11" t="n">
        <v>0</v>
      </c>
      <c r="N6" s="11" t="n">
        <v>0</v>
      </c>
      <c r="O6" s="11" t="n">
        <v>0</v>
      </c>
      <c r="P6" s="11" t="n">
        <v>0</v>
      </c>
      <c r="Q6" s="11" t="n">
        <v>0</v>
      </c>
      <c r="R6" s="11" t="s">
        <v>19</v>
      </c>
      <c r="S6" s="11" t="s">
        <v>21</v>
      </c>
    </row>
    <row r="7" customFormat="false" ht="23.85" hidden="false" customHeight="false" outlineLevel="0" collapsed="false">
      <c r="A7" s="11" t="n">
        <v>6</v>
      </c>
      <c r="B7" s="11" t="s">
        <v>839</v>
      </c>
      <c r="C7" s="11" t="s">
        <v>835</v>
      </c>
      <c r="D7" s="11" t="n">
        <v>0</v>
      </c>
      <c r="E7" s="11" t="n">
        <v>1</v>
      </c>
      <c r="F7" s="11" t="n">
        <v>1</v>
      </c>
      <c r="G7" s="11" t="n">
        <v>0</v>
      </c>
      <c r="H7" s="11" t="n">
        <v>0</v>
      </c>
      <c r="I7" s="11" t="n">
        <v>0</v>
      </c>
      <c r="J7" s="11" t="n">
        <v>0</v>
      </c>
      <c r="K7" s="11" t="n">
        <v>0</v>
      </c>
      <c r="L7" s="11" t="n">
        <v>0</v>
      </c>
      <c r="M7" s="11" t="n">
        <v>0</v>
      </c>
      <c r="N7" s="11" t="n">
        <v>0</v>
      </c>
      <c r="O7" s="11" t="n">
        <v>0</v>
      </c>
      <c r="P7" s="11" t="n">
        <v>0</v>
      </c>
      <c r="Q7" s="11" t="n">
        <v>0</v>
      </c>
      <c r="R7" s="11" t="s">
        <v>20</v>
      </c>
      <c r="S7" s="11" t="s">
        <v>67</v>
      </c>
    </row>
    <row r="8" customFormat="false" ht="23.85" hidden="false" customHeight="false" outlineLevel="0" collapsed="false">
      <c r="A8" s="11" t="n">
        <v>7</v>
      </c>
      <c r="B8" s="11" t="s">
        <v>842</v>
      </c>
      <c r="C8" s="11" t="s">
        <v>795</v>
      </c>
      <c r="D8" s="11" t="n">
        <v>1</v>
      </c>
      <c r="E8" s="11" t="n">
        <v>0</v>
      </c>
      <c r="F8" s="11" t="n">
        <v>0</v>
      </c>
      <c r="G8" s="11" t="n">
        <v>1</v>
      </c>
      <c r="H8" s="11" t="n">
        <v>0</v>
      </c>
      <c r="I8" s="11" t="n">
        <v>0</v>
      </c>
      <c r="J8" s="11" t="n">
        <v>0</v>
      </c>
      <c r="K8" s="11" t="n">
        <v>0</v>
      </c>
      <c r="L8" s="11" t="n">
        <v>0</v>
      </c>
      <c r="M8" s="11" t="n">
        <v>0</v>
      </c>
      <c r="N8" s="11" t="n">
        <v>1</v>
      </c>
      <c r="O8" s="11" t="n">
        <v>1</v>
      </c>
      <c r="P8" s="11" t="n">
        <v>0</v>
      </c>
      <c r="Q8" s="11" t="n">
        <v>0</v>
      </c>
      <c r="R8" s="11" t="s">
        <v>22</v>
      </c>
      <c r="S8" s="11" t="s">
        <v>22</v>
      </c>
    </row>
    <row r="9" customFormat="false" ht="23.85" hidden="false" customHeight="false" outlineLevel="0" collapsed="false">
      <c r="A9" s="11" t="n">
        <v>8</v>
      </c>
      <c r="B9" s="11" t="s">
        <v>847</v>
      </c>
      <c r="C9" s="11" t="s">
        <v>795</v>
      </c>
      <c r="D9" s="11" t="n">
        <v>1</v>
      </c>
      <c r="E9" s="11" t="n">
        <v>1</v>
      </c>
      <c r="F9" s="11" t="n">
        <v>1</v>
      </c>
      <c r="G9" s="11" t="n">
        <v>0</v>
      </c>
      <c r="H9" s="11" t="n">
        <v>0</v>
      </c>
      <c r="I9" s="11" t="n">
        <v>0</v>
      </c>
      <c r="J9" s="11" t="n">
        <v>0</v>
      </c>
      <c r="K9" s="11" t="n">
        <v>0</v>
      </c>
      <c r="L9" s="11" t="n">
        <v>1</v>
      </c>
      <c r="M9" s="11" t="n">
        <v>0</v>
      </c>
      <c r="N9" s="11" t="n">
        <v>0</v>
      </c>
      <c r="O9" s="11" t="n">
        <v>0</v>
      </c>
      <c r="P9" s="11" t="n">
        <v>0</v>
      </c>
      <c r="Q9" s="11" t="n">
        <v>0</v>
      </c>
      <c r="R9" s="11" t="s">
        <v>20</v>
      </c>
      <c r="S9" s="11" t="s">
        <v>850</v>
      </c>
    </row>
    <row r="10" customFormat="false" ht="23.85" hidden="false" customHeight="false" outlineLevel="0" collapsed="false">
      <c r="A10" s="11" t="n">
        <v>9</v>
      </c>
      <c r="B10" s="11" t="s">
        <v>852</v>
      </c>
      <c r="C10" s="11" t="s">
        <v>795</v>
      </c>
      <c r="D10" s="11" t="n">
        <v>1</v>
      </c>
      <c r="E10" s="11" t="n">
        <v>1</v>
      </c>
      <c r="F10" s="11" t="n">
        <v>0</v>
      </c>
      <c r="G10" s="11" t="n">
        <v>0</v>
      </c>
      <c r="H10" s="11" t="n">
        <v>0</v>
      </c>
      <c r="I10" s="11" t="n">
        <v>0</v>
      </c>
      <c r="J10" s="11" t="n">
        <v>0</v>
      </c>
      <c r="K10" s="11" t="n">
        <v>0</v>
      </c>
      <c r="L10" s="11" t="n">
        <v>0</v>
      </c>
      <c r="M10" s="11" t="n">
        <v>0</v>
      </c>
      <c r="N10" s="11" t="n">
        <v>0</v>
      </c>
      <c r="O10" s="11" t="n">
        <v>0</v>
      </c>
      <c r="P10" s="11" t="n">
        <v>0</v>
      </c>
      <c r="Q10" s="11" t="n">
        <v>0</v>
      </c>
      <c r="R10" s="11" t="s">
        <v>20</v>
      </c>
      <c r="S10" s="11" t="s">
        <v>20</v>
      </c>
    </row>
    <row r="11" customFormat="false" ht="23.85" hidden="false" customHeight="false" outlineLevel="0" collapsed="false">
      <c r="A11" s="11" t="n">
        <v>10</v>
      </c>
      <c r="B11" s="11" t="s">
        <v>852</v>
      </c>
      <c r="C11" s="11" t="s">
        <v>297</v>
      </c>
      <c r="D11" s="11" t="n">
        <v>0</v>
      </c>
      <c r="E11" s="11" t="n">
        <v>1</v>
      </c>
      <c r="F11" s="11" t="n">
        <v>0</v>
      </c>
      <c r="G11" s="11" t="n">
        <v>0</v>
      </c>
      <c r="H11" s="11" t="n">
        <v>0</v>
      </c>
      <c r="I11" s="11" t="n">
        <v>0</v>
      </c>
      <c r="J11" s="11" t="n">
        <v>0</v>
      </c>
      <c r="K11" s="11" t="n">
        <v>0</v>
      </c>
      <c r="L11" s="11" t="n">
        <v>0</v>
      </c>
      <c r="M11" s="11" t="n">
        <v>0</v>
      </c>
      <c r="N11" s="11" t="n">
        <v>0</v>
      </c>
      <c r="O11" s="11" t="n">
        <v>0</v>
      </c>
      <c r="P11" s="11" t="n">
        <v>0</v>
      </c>
      <c r="Q11" s="11" t="n">
        <v>0</v>
      </c>
      <c r="R11" s="11" t="s">
        <v>20</v>
      </c>
      <c r="S11" s="11" t="s">
        <v>20</v>
      </c>
    </row>
    <row r="12" customFormat="false" ht="23.85" hidden="false" customHeight="false" outlineLevel="0" collapsed="false">
      <c r="A12" s="11" t="n">
        <v>11</v>
      </c>
      <c r="B12" s="11" t="s">
        <v>854</v>
      </c>
      <c r="C12" s="11" t="s">
        <v>795</v>
      </c>
      <c r="D12" s="11" t="n">
        <v>1</v>
      </c>
      <c r="E12" s="11" t="n">
        <v>0</v>
      </c>
      <c r="F12" s="11" t="n">
        <v>0</v>
      </c>
      <c r="G12" s="11" t="n">
        <v>1</v>
      </c>
      <c r="H12" s="11" t="n">
        <v>0</v>
      </c>
      <c r="I12" s="11" t="n">
        <v>0</v>
      </c>
      <c r="J12" s="11" t="n">
        <v>0</v>
      </c>
      <c r="K12" s="11" t="n">
        <v>0</v>
      </c>
      <c r="L12" s="11" t="n">
        <v>0</v>
      </c>
      <c r="M12" s="11" t="n">
        <v>0</v>
      </c>
      <c r="N12" s="11" t="n">
        <v>1</v>
      </c>
      <c r="O12" s="11" t="n">
        <v>0</v>
      </c>
      <c r="P12" s="11" t="n">
        <v>0</v>
      </c>
      <c r="Q12" s="11" t="n">
        <v>0</v>
      </c>
      <c r="R12" s="11" t="s">
        <v>22</v>
      </c>
      <c r="S12" s="11" t="s">
        <v>22</v>
      </c>
    </row>
    <row r="13" customFormat="false" ht="23.85" hidden="false" customHeight="false" outlineLevel="0" collapsed="false">
      <c r="A13" s="11" t="n">
        <v>12</v>
      </c>
      <c r="B13" s="11" t="s">
        <v>857</v>
      </c>
      <c r="C13" s="11" t="s">
        <v>795</v>
      </c>
      <c r="D13" s="11" t="n">
        <v>1</v>
      </c>
      <c r="E13" s="11" t="n">
        <v>0</v>
      </c>
      <c r="F13" s="11" t="n">
        <v>0</v>
      </c>
      <c r="G13" s="11" t="n">
        <v>1</v>
      </c>
      <c r="H13" s="11" t="n">
        <v>0</v>
      </c>
      <c r="I13" s="11" t="n">
        <v>0</v>
      </c>
      <c r="J13" s="11" t="n">
        <v>0</v>
      </c>
      <c r="K13" s="11" t="n">
        <v>0</v>
      </c>
      <c r="L13" s="11" t="n">
        <v>0</v>
      </c>
      <c r="M13" s="11" t="n">
        <v>0</v>
      </c>
      <c r="N13" s="11" t="n">
        <v>1</v>
      </c>
      <c r="O13" s="11" t="n">
        <v>0</v>
      </c>
      <c r="P13" s="11" t="n">
        <v>0</v>
      </c>
      <c r="Q13" s="11" t="n">
        <v>0</v>
      </c>
      <c r="R13" s="11" t="s">
        <v>22</v>
      </c>
      <c r="S13" s="11" t="s">
        <v>22</v>
      </c>
    </row>
    <row r="14" customFormat="false" ht="23.85" hidden="false" customHeight="false" outlineLevel="0" collapsed="false">
      <c r="A14" s="11" t="n">
        <v>13</v>
      </c>
      <c r="B14" s="11" t="s">
        <v>860</v>
      </c>
      <c r="C14" s="11" t="s">
        <v>795</v>
      </c>
      <c r="D14" s="11" t="n">
        <v>1</v>
      </c>
      <c r="E14" s="11" t="n">
        <v>0</v>
      </c>
      <c r="F14" s="11" t="n">
        <v>1</v>
      </c>
      <c r="G14" s="11" t="n">
        <v>0</v>
      </c>
      <c r="H14" s="11" t="n">
        <v>1</v>
      </c>
      <c r="I14" s="11" t="n">
        <v>0</v>
      </c>
      <c r="J14" s="11" t="n">
        <v>0</v>
      </c>
      <c r="K14" s="11" t="n">
        <v>0</v>
      </c>
      <c r="L14" s="11" t="n">
        <v>1</v>
      </c>
      <c r="M14" s="11" t="n">
        <v>0</v>
      </c>
      <c r="N14" s="11" t="n">
        <v>0</v>
      </c>
      <c r="O14" s="11" t="n">
        <v>0</v>
      </c>
      <c r="P14" s="11" t="n">
        <v>0</v>
      </c>
      <c r="Q14" s="11" t="n">
        <v>0</v>
      </c>
      <c r="R14" s="11" t="s">
        <v>19</v>
      </c>
      <c r="S14" s="11" t="s">
        <v>862</v>
      </c>
    </row>
    <row r="15" customFormat="false" ht="23.85" hidden="false" customHeight="false" outlineLevel="0" collapsed="false">
      <c r="A15" s="11" t="n">
        <v>14</v>
      </c>
      <c r="B15" s="11" t="s">
        <v>864</v>
      </c>
      <c r="C15" s="11" t="s">
        <v>795</v>
      </c>
      <c r="D15" s="11" t="n">
        <v>1</v>
      </c>
      <c r="E15" s="11" t="n">
        <v>0</v>
      </c>
      <c r="F15" s="11" t="n">
        <v>0</v>
      </c>
      <c r="G15" s="11" t="n">
        <v>1</v>
      </c>
      <c r="H15" s="11" t="n">
        <v>0</v>
      </c>
      <c r="I15" s="11" t="n">
        <v>0</v>
      </c>
      <c r="J15" s="11" t="n">
        <v>0</v>
      </c>
      <c r="K15" s="11" t="n">
        <v>0</v>
      </c>
      <c r="L15" s="11" t="n">
        <v>0</v>
      </c>
      <c r="M15" s="11" t="n">
        <v>0</v>
      </c>
      <c r="N15" s="11" t="n">
        <v>1</v>
      </c>
      <c r="O15" s="11" t="n">
        <v>1</v>
      </c>
      <c r="P15" s="11" t="n">
        <v>0</v>
      </c>
      <c r="Q15" s="11" t="n">
        <v>0</v>
      </c>
      <c r="R15" s="11" t="s">
        <v>22</v>
      </c>
      <c r="S15" s="11" t="s">
        <v>22</v>
      </c>
    </row>
    <row r="16" customFormat="false" ht="23.85" hidden="false" customHeight="false" outlineLevel="0" collapsed="false">
      <c r="A16" s="11" t="n">
        <v>15</v>
      </c>
      <c r="B16" s="11" t="s">
        <v>88</v>
      </c>
      <c r="C16" s="11" t="s">
        <v>795</v>
      </c>
      <c r="D16" s="11" t="n">
        <v>1</v>
      </c>
      <c r="E16" s="11" t="n">
        <v>1</v>
      </c>
      <c r="F16" s="11" t="n">
        <v>0</v>
      </c>
      <c r="G16" s="11" t="n">
        <v>0</v>
      </c>
      <c r="H16" s="11" t="n">
        <v>0</v>
      </c>
      <c r="I16" s="11" t="n">
        <v>0</v>
      </c>
      <c r="J16" s="11" t="n">
        <v>0</v>
      </c>
      <c r="K16" s="11" t="n">
        <v>0</v>
      </c>
      <c r="L16" s="11" t="n">
        <v>0</v>
      </c>
      <c r="M16" s="11" t="n">
        <v>0</v>
      </c>
      <c r="N16" s="11" t="n">
        <v>0</v>
      </c>
      <c r="O16" s="11" t="n">
        <v>0</v>
      </c>
      <c r="P16" s="11" t="n">
        <v>0</v>
      </c>
      <c r="Q16" s="11" t="n">
        <v>0</v>
      </c>
      <c r="R16" s="11" t="s">
        <v>20</v>
      </c>
      <c r="S16" s="11" t="s">
        <v>20</v>
      </c>
    </row>
    <row r="17" customFormat="false" ht="23.85" hidden="false" customHeight="false" outlineLevel="0" collapsed="false">
      <c r="A17" s="11" t="n">
        <v>16</v>
      </c>
      <c r="B17" s="11" t="s">
        <v>869</v>
      </c>
      <c r="C17" s="11" t="s">
        <v>870</v>
      </c>
      <c r="D17" s="11" t="n">
        <v>0</v>
      </c>
      <c r="E17" s="11" t="n">
        <v>1</v>
      </c>
      <c r="F17" s="11" t="n">
        <v>0</v>
      </c>
      <c r="G17" s="11" t="n">
        <v>1</v>
      </c>
      <c r="H17" s="11" t="n">
        <v>0</v>
      </c>
      <c r="I17" s="11" t="n">
        <v>0</v>
      </c>
      <c r="J17" s="11" t="n">
        <v>0</v>
      </c>
      <c r="K17" s="11" t="n">
        <v>0</v>
      </c>
      <c r="L17" s="11" t="n">
        <v>0</v>
      </c>
      <c r="M17" s="11" t="n">
        <v>0</v>
      </c>
      <c r="N17" s="11" t="n">
        <v>0</v>
      </c>
      <c r="O17" s="11" t="n">
        <v>0</v>
      </c>
      <c r="P17" s="11" t="n">
        <v>0</v>
      </c>
      <c r="Q17" s="11" t="n">
        <v>0</v>
      </c>
      <c r="R17" s="11" t="s">
        <v>22</v>
      </c>
      <c r="S17" s="11" t="s">
        <v>89</v>
      </c>
    </row>
    <row r="18" customFormat="false" ht="23.85" hidden="false" customHeight="false" outlineLevel="0" collapsed="false">
      <c r="A18" s="11" t="n">
        <v>17</v>
      </c>
      <c r="B18" s="11" t="s">
        <v>94</v>
      </c>
      <c r="C18" s="11" t="s">
        <v>795</v>
      </c>
      <c r="D18" s="11" t="n">
        <v>1</v>
      </c>
      <c r="E18" s="11" t="n">
        <v>1</v>
      </c>
      <c r="F18" s="11" t="n">
        <v>1</v>
      </c>
      <c r="G18" s="11" t="n">
        <v>0</v>
      </c>
      <c r="H18" s="11" t="n">
        <v>0</v>
      </c>
      <c r="I18" s="11" t="n">
        <v>0</v>
      </c>
      <c r="J18" s="11" t="n">
        <v>0</v>
      </c>
      <c r="K18" s="11" t="n">
        <v>0</v>
      </c>
      <c r="L18" s="11" t="n">
        <v>0</v>
      </c>
      <c r="M18" s="11" t="n">
        <v>0</v>
      </c>
      <c r="N18" s="11" t="n">
        <v>0</v>
      </c>
      <c r="O18" s="11" t="n">
        <v>0</v>
      </c>
      <c r="P18" s="11" t="n">
        <v>0</v>
      </c>
      <c r="Q18" s="11" t="n">
        <v>0</v>
      </c>
      <c r="R18" s="11" t="s">
        <v>20</v>
      </c>
      <c r="S18" s="11" t="s">
        <v>67</v>
      </c>
    </row>
    <row r="19" customFormat="false" ht="23.85" hidden="false" customHeight="false" outlineLevel="0" collapsed="false">
      <c r="A19" s="11" t="n">
        <v>18</v>
      </c>
      <c r="B19" s="11" t="s">
        <v>877</v>
      </c>
      <c r="C19" s="11" t="s">
        <v>795</v>
      </c>
      <c r="D19" s="11" t="n">
        <v>1</v>
      </c>
      <c r="E19" s="11" t="n">
        <v>1</v>
      </c>
      <c r="F19" s="11" t="n">
        <v>1</v>
      </c>
      <c r="G19" s="11" t="n">
        <v>0</v>
      </c>
      <c r="H19" s="11" t="n">
        <v>0</v>
      </c>
      <c r="I19" s="11" t="n">
        <v>0</v>
      </c>
      <c r="J19" s="11" t="n">
        <v>0</v>
      </c>
      <c r="K19" s="11" t="n">
        <v>0</v>
      </c>
      <c r="L19" s="11" t="n">
        <v>1</v>
      </c>
      <c r="M19" s="11" t="n">
        <v>0</v>
      </c>
      <c r="N19" s="11" t="n">
        <v>0</v>
      </c>
      <c r="O19" s="11" t="n">
        <v>0</v>
      </c>
      <c r="P19" s="11" t="n">
        <v>0</v>
      </c>
      <c r="Q19" s="11" t="n">
        <v>0</v>
      </c>
      <c r="R19" s="11" t="s">
        <v>20</v>
      </c>
      <c r="S19" s="11" t="s">
        <v>880</v>
      </c>
    </row>
    <row r="20" customFormat="false" ht="23.85" hidden="false" customHeight="false" outlineLevel="0" collapsed="false">
      <c r="A20" s="11" t="n">
        <v>19</v>
      </c>
      <c r="B20" s="11" t="s">
        <v>882</v>
      </c>
      <c r="C20" s="11" t="s">
        <v>795</v>
      </c>
      <c r="D20" s="11" t="n">
        <v>1</v>
      </c>
      <c r="E20" s="11" t="n">
        <v>1</v>
      </c>
      <c r="F20" s="11" t="n">
        <v>0</v>
      </c>
      <c r="G20" s="11" t="n">
        <v>0</v>
      </c>
      <c r="H20" s="11" t="n">
        <v>0</v>
      </c>
      <c r="I20" s="11" t="n">
        <v>0</v>
      </c>
      <c r="J20" s="11" t="n">
        <v>0</v>
      </c>
      <c r="K20" s="11" t="n">
        <v>0</v>
      </c>
      <c r="L20" s="11" t="n">
        <v>1</v>
      </c>
      <c r="M20" s="11" t="n">
        <v>0</v>
      </c>
      <c r="N20" s="11" t="n">
        <v>0</v>
      </c>
      <c r="O20" s="11" t="n">
        <v>0</v>
      </c>
      <c r="P20" s="11" t="n">
        <v>0</v>
      </c>
      <c r="Q20" s="11" t="n">
        <v>0</v>
      </c>
      <c r="R20" s="11" t="s">
        <v>20</v>
      </c>
      <c r="S20" s="11" t="s">
        <v>20</v>
      </c>
    </row>
    <row r="21" customFormat="false" ht="23.85" hidden="false" customHeight="false" outlineLevel="0" collapsed="false">
      <c r="A21" s="11" t="n">
        <v>20</v>
      </c>
      <c r="B21" s="11" t="s">
        <v>885</v>
      </c>
      <c r="C21" s="11" t="s">
        <v>795</v>
      </c>
      <c r="D21" s="11" t="n">
        <v>1</v>
      </c>
      <c r="E21" s="11" t="n">
        <v>0</v>
      </c>
      <c r="F21" s="11" t="n">
        <v>1</v>
      </c>
      <c r="G21" s="11" t="n">
        <v>1</v>
      </c>
      <c r="H21" s="11" t="n">
        <v>0</v>
      </c>
      <c r="I21" s="11" t="n">
        <v>0</v>
      </c>
      <c r="J21" s="11" t="n">
        <v>0</v>
      </c>
      <c r="K21" s="11" t="n">
        <v>0</v>
      </c>
      <c r="L21" s="11" t="n">
        <v>0</v>
      </c>
      <c r="M21" s="11" t="n">
        <v>0</v>
      </c>
      <c r="N21" s="11" t="n">
        <v>1</v>
      </c>
      <c r="O21" s="11" t="n">
        <v>1</v>
      </c>
      <c r="P21" s="11" t="n">
        <v>0</v>
      </c>
      <c r="Q21" s="11" t="n">
        <v>0</v>
      </c>
      <c r="R21" s="11" t="s">
        <v>22</v>
      </c>
      <c r="S21" s="11" t="s">
        <v>887</v>
      </c>
    </row>
    <row r="22" customFormat="false" ht="23.85" hidden="false" customHeight="false" outlineLevel="0" collapsed="false">
      <c r="A22" s="11" t="n">
        <v>21</v>
      </c>
      <c r="B22" s="11" t="s">
        <v>102</v>
      </c>
      <c r="C22" s="11" t="s">
        <v>795</v>
      </c>
      <c r="D22" s="11" t="n">
        <v>1</v>
      </c>
      <c r="E22" s="11" t="n">
        <v>0</v>
      </c>
      <c r="F22" s="11" t="n">
        <v>0</v>
      </c>
      <c r="G22" s="11" t="n">
        <v>1</v>
      </c>
      <c r="H22" s="11" t="n">
        <v>1</v>
      </c>
      <c r="I22" s="11" t="n">
        <v>0</v>
      </c>
      <c r="J22" s="11" t="n">
        <v>0</v>
      </c>
      <c r="K22" s="11" t="n">
        <v>0</v>
      </c>
      <c r="L22" s="11" t="n">
        <v>0</v>
      </c>
      <c r="M22" s="11" t="n">
        <v>0</v>
      </c>
      <c r="N22" s="11" t="n">
        <v>1</v>
      </c>
      <c r="O22" s="11" t="n">
        <v>1</v>
      </c>
      <c r="P22" s="11" t="n">
        <v>1</v>
      </c>
      <c r="Q22" s="11" t="n">
        <v>0</v>
      </c>
      <c r="R22" s="11" t="s">
        <v>22</v>
      </c>
      <c r="S22" s="11" t="s">
        <v>889</v>
      </c>
    </row>
    <row r="23" customFormat="false" ht="23.85" hidden="false" customHeight="false" outlineLevel="0" collapsed="false">
      <c r="A23" s="11" t="n">
        <v>22</v>
      </c>
      <c r="B23" s="11" t="s">
        <v>892</v>
      </c>
      <c r="C23" s="11" t="s">
        <v>795</v>
      </c>
      <c r="D23" s="11" t="n">
        <v>1</v>
      </c>
      <c r="E23" s="11" t="n">
        <v>0</v>
      </c>
      <c r="F23" s="11" t="n">
        <v>1</v>
      </c>
      <c r="G23" s="11" t="n">
        <v>1</v>
      </c>
      <c r="H23" s="11" t="n">
        <v>0</v>
      </c>
      <c r="I23" s="11" t="n">
        <v>0</v>
      </c>
      <c r="J23" s="11" t="n">
        <v>0</v>
      </c>
      <c r="K23" s="11" t="n">
        <v>0</v>
      </c>
      <c r="L23" s="11" t="n">
        <v>0</v>
      </c>
      <c r="M23" s="11" t="n">
        <v>0</v>
      </c>
      <c r="N23" s="11" t="n">
        <v>1</v>
      </c>
      <c r="O23" s="11" t="n">
        <v>1</v>
      </c>
      <c r="P23" s="11" t="n">
        <v>1</v>
      </c>
      <c r="Q23" s="11" t="n">
        <v>0</v>
      </c>
      <c r="R23" s="11" t="s">
        <v>22</v>
      </c>
      <c r="S23" s="11" t="s">
        <v>894</v>
      </c>
    </row>
    <row r="24" customFormat="false" ht="23.85" hidden="false" customHeight="false" outlineLevel="0" collapsed="false">
      <c r="A24" s="11" t="n">
        <v>23</v>
      </c>
      <c r="B24" s="11" t="s">
        <v>896</v>
      </c>
      <c r="C24" s="11" t="s">
        <v>795</v>
      </c>
      <c r="D24" s="11" t="n">
        <v>1</v>
      </c>
      <c r="E24" s="11" t="n">
        <v>1</v>
      </c>
      <c r="F24" s="11" t="n">
        <v>1</v>
      </c>
      <c r="G24" s="11" t="n">
        <v>0</v>
      </c>
      <c r="H24" s="11" t="n">
        <v>0</v>
      </c>
      <c r="I24" s="11" t="n">
        <v>0</v>
      </c>
      <c r="J24" s="11" t="n">
        <v>0</v>
      </c>
      <c r="K24" s="11" t="n">
        <v>0</v>
      </c>
      <c r="L24" s="11" t="n">
        <v>1</v>
      </c>
      <c r="M24" s="11" t="n">
        <v>0</v>
      </c>
      <c r="N24" s="11" t="n">
        <v>0</v>
      </c>
      <c r="O24" s="11" t="n">
        <v>0</v>
      </c>
      <c r="P24" s="11" t="n">
        <v>0</v>
      </c>
      <c r="Q24" s="11" t="n">
        <v>0</v>
      </c>
      <c r="R24" s="11" t="s">
        <v>20</v>
      </c>
      <c r="S24" s="11" t="s">
        <v>67</v>
      </c>
    </row>
    <row r="25" customFormat="false" ht="23.85" hidden="false" customHeight="false" outlineLevel="0" collapsed="false">
      <c r="A25" s="11" t="n">
        <v>24</v>
      </c>
      <c r="B25" s="11" t="s">
        <v>899</v>
      </c>
      <c r="C25" s="11" t="s">
        <v>835</v>
      </c>
      <c r="D25" s="11" t="n">
        <v>0</v>
      </c>
      <c r="E25" s="11" t="n">
        <v>0</v>
      </c>
      <c r="F25" s="11" t="n">
        <v>1</v>
      </c>
      <c r="G25" s="11" t="n">
        <v>0</v>
      </c>
      <c r="H25" s="11" t="n">
        <v>1</v>
      </c>
      <c r="I25" s="11" t="n">
        <v>0</v>
      </c>
      <c r="J25" s="11" t="n">
        <v>0</v>
      </c>
      <c r="K25" s="11" t="n">
        <v>0</v>
      </c>
      <c r="L25" s="11" t="n">
        <v>0</v>
      </c>
      <c r="M25" s="11" t="n">
        <v>0</v>
      </c>
      <c r="N25" s="11" t="n">
        <v>0</v>
      </c>
      <c r="O25" s="11" t="n">
        <v>0</v>
      </c>
      <c r="P25" s="11" t="n">
        <v>0</v>
      </c>
      <c r="Q25" s="11" t="n">
        <v>0</v>
      </c>
      <c r="R25" s="11" t="s">
        <v>19</v>
      </c>
      <c r="S25" s="11" t="s">
        <v>109</v>
      </c>
    </row>
    <row r="26" customFormat="false" ht="23.85" hidden="false" customHeight="false" outlineLevel="0" collapsed="false">
      <c r="A26" s="11" t="n">
        <v>25</v>
      </c>
      <c r="B26" s="11" t="s">
        <v>902</v>
      </c>
      <c r="C26" s="11" t="s">
        <v>795</v>
      </c>
      <c r="D26" s="11" t="n">
        <v>1</v>
      </c>
      <c r="E26" s="11" t="n">
        <v>1</v>
      </c>
      <c r="F26" s="11" t="n">
        <v>0</v>
      </c>
      <c r="G26" s="11" t="n">
        <v>0</v>
      </c>
      <c r="H26" s="11" t="n">
        <v>0</v>
      </c>
      <c r="I26" s="11" t="n">
        <v>1</v>
      </c>
      <c r="J26" s="11" t="n">
        <v>0</v>
      </c>
      <c r="K26" s="11" t="n">
        <v>0</v>
      </c>
      <c r="L26" s="11" t="n">
        <v>0</v>
      </c>
      <c r="M26" s="11" t="n">
        <v>0</v>
      </c>
      <c r="N26" s="11" t="n">
        <v>0</v>
      </c>
      <c r="O26" s="11" t="n">
        <v>0</v>
      </c>
      <c r="P26" s="11" t="n">
        <v>0</v>
      </c>
      <c r="Q26" s="11" t="n">
        <v>0</v>
      </c>
      <c r="R26" s="11" t="s">
        <v>20</v>
      </c>
      <c r="S26" s="11" t="s">
        <v>904</v>
      </c>
    </row>
    <row r="27" customFormat="false" ht="23.85" hidden="false" customHeight="false" outlineLevel="0" collapsed="false">
      <c r="A27" s="11" t="n">
        <v>26</v>
      </c>
      <c r="B27" s="11" t="s">
        <v>906</v>
      </c>
      <c r="C27" s="11" t="s">
        <v>795</v>
      </c>
      <c r="D27" s="11" t="n">
        <v>1</v>
      </c>
      <c r="E27" s="11" t="n">
        <v>1</v>
      </c>
      <c r="F27" s="11" t="n">
        <v>0</v>
      </c>
      <c r="G27" s="11" t="n">
        <v>0</v>
      </c>
      <c r="H27" s="11" t="n">
        <v>1</v>
      </c>
      <c r="I27" s="11" t="n">
        <v>0</v>
      </c>
      <c r="J27" s="11" t="n">
        <v>1</v>
      </c>
      <c r="K27" s="11" t="n">
        <v>0</v>
      </c>
      <c r="L27" s="11" t="n">
        <v>0</v>
      </c>
      <c r="M27" s="11" t="n">
        <v>0</v>
      </c>
      <c r="N27" s="11" t="n">
        <v>0</v>
      </c>
      <c r="O27" s="11" t="n">
        <v>0</v>
      </c>
      <c r="P27" s="11" t="n">
        <v>0</v>
      </c>
      <c r="Q27" s="11" t="n">
        <v>0</v>
      </c>
      <c r="R27" s="11" t="s">
        <v>20</v>
      </c>
      <c r="S27" s="11" t="s">
        <v>908</v>
      </c>
    </row>
    <row r="28" customFormat="false" ht="23.85" hidden="false" customHeight="false" outlineLevel="0" collapsed="false">
      <c r="A28" s="11" t="n">
        <v>27</v>
      </c>
      <c r="B28" s="11" t="s">
        <v>115</v>
      </c>
      <c r="C28" s="11" t="s">
        <v>795</v>
      </c>
      <c r="D28" s="11" t="n">
        <v>1</v>
      </c>
      <c r="E28" s="11" t="n">
        <v>0</v>
      </c>
      <c r="F28" s="11" t="n">
        <v>1</v>
      </c>
      <c r="G28" s="11" t="n">
        <v>1</v>
      </c>
      <c r="H28" s="11" t="n">
        <v>0</v>
      </c>
      <c r="I28" s="11" t="n">
        <v>0</v>
      </c>
      <c r="J28" s="11" t="n">
        <v>0</v>
      </c>
      <c r="K28" s="11" t="n">
        <v>0</v>
      </c>
      <c r="L28" s="11" t="n">
        <v>0</v>
      </c>
      <c r="M28" s="11" t="n">
        <v>0</v>
      </c>
      <c r="N28" s="11" t="n">
        <v>1</v>
      </c>
      <c r="O28" s="11" t="n">
        <v>1</v>
      </c>
      <c r="P28" s="11" t="n">
        <v>1</v>
      </c>
      <c r="Q28" s="11" t="n">
        <v>0</v>
      </c>
      <c r="R28" s="11" t="s">
        <v>22</v>
      </c>
      <c r="S28" s="11" t="s">
        <v>70</v>
      </c>
    </row>
    <row r="29" customFormat="false" ht="23.85" hidden="false" customHeight="false" outlineLevel="0" collapsed="false">
      <c r="A29" s="11" t="n">
        <v>28</v>
      </c>
      <c r="B29" s="11" t="s">
        <v>914</v>
      </c>
      <c r="C29" s="11" t="s">
        <v>795</v>
      </c>
      <c r="D29" s="11" t="n">
        <v>1</v>
      </c>
      <c r="E29" s="11" t="n">
        <v>0</v>
      </c>
      <c r="F29" s="11" t="n">
        <v>0</v>
      </c>
      <c r="G29" s="11" t="n">
        <v>1</v>
      </c>
      <c r="H29" s="11" t="n">
        <v>0</v>
      </c>
      <c r="I29" s="11" t="n">
        <v>0</v>
      </c>
      <c r="J29" s="11" t="n">
        <v>0</v>
      </c>
      <c r="K29" s="11" t="n">
        <v>0</v>
      </c>
      <c r="L29" s="11" t="n">
        <v>0</v>
      </c>
      <c r="M29" s="11" t="n">
        <v>1</v>
      </c>
      <c r="N29" s="11" t="n">
        <v>1</v>
      </c>
      <c r="O29" s="11" t="n">
        <v>0</v>
      </c>
      <c r="P29" s="11" t="n">
        <v>0</v>
      </c>
      <c r="Q29" s="11" t="n">
        <v>0</v>
      </c>
      <c r="R29" s="11" t="s">
        <v>22</v>
      </c>
      <c r="S29" s="11" t="s">
        <v>22</v>
      </c>
    </row>
    <row r="30" customFormat="false" ht="23.85" hidden="false" customHeight="false" outlineLevel="0" collapsed="false">
      <c r="A30" s="11" t="n">
        <v>29</v>
      </c>
      <c r="B30" s="11" t="s">
        <v>917</v>
      </c>
      <c r="C30" s="11" t="s">
        <v>795</v>
      </c>
      <c r="D30" s="11" t="n">
        <v>1</v>
      </c>
      <c r="E30" s="11" t="n">
        <v>1</v>
      </c>
      <c r="F30" s="11" t="n">
        <v>0</v>
      </c>
      <c r="G30" s="11" t="n">
        <v>1</v>
      </c>
      <c r="H30" s="11" t="n">
        <v>0</v>
      </c>
      <c r="I30" s="11" t="n">
        <v>0</v>
      </c>
      <c r="J30" s="11" t="n">
        <v>0</v>
      </c>
      <c r="K30" s="11" t="n">
        <v>0</v>
      </c>
      <c r="L30" s="11" t="n">
        <v>0</v>
      </c>
      <c r="M30" s="11" t="n">
        <v>0</v>
      </c>
      <c r="N30" s="11" t="n">
        <v>1</v>
      </c>
      <c r="O30" s="11" t="n">
        <v>1</v>
      </c>
      <c r="P30" s="11" t="n">
        <v>0</v>
      </c>
      <c r="Q30" s="11" t="n">
        <v>1</v>
      </c>
      <c r="R30" s="11" t="s">
        <v>22</v>
      </c>
      <c r="S30" s="11" t="s">
        <v>89</v>
      </c>
    </row>
    <row r="31" customFormat="false" ht="23.85" hidden="false" customHeight="false" outlineLevel="0" collapsed="false">
      <c r="A31" s="11" t="n">
        <v>30</v>
      </c>
      <c r="B31" s="11" t="s">
        <v>921</v>
      </c>
      <c r="C31" s="11" t="s">
        <v>795</v>
      </c>
      <c r="D31" s="11" t="n">
        <v>1</v>
      </c>
      <c r="E31" s="11" t="n">
        <v>1</v>
      </c>
      <c r="F31" s="11" t="n">
        <v>0</v>
      </c>
      <c r="G31" s="11" t="n">
        <v>0</v>
      </c>
      <c r="H31" s="11" t="n">
        <v>0</v>
      </c>
      <c r="I31" s="11" t="n">
        <v>1</v>
      </c>
      <c r="J31" s="11" t="n">
        <v>0</v>
      </c>
      <c r="K31" s="11" t="n">
        <v>0</v>
      </c>
      <c r="L31" s="11" t="n">
        <v>0</v>
      </c>
      <c r="M31" s="11" t="n">
        <v>0</v>
      </c>
      <c r="N31" s="11" t="n">
        <v>0</v>
      </c>
      <c r="O31" s="11" t="n">
        <v>0</v>
      </c>
      <c r="P31" s="11" t="n">
        <v>0</v>
      </c>
      <c r="Q31" s="11" t="n">
        <v>0</v>
      </c>
      <c r="R31" s="11" t="s">
        <v>20</v>
      </c>
      <c r="S31" s="11" t="s">
        <v>20</v>
      </c>
    </row>
    <row r="32" customFormat="false" ht="23.85" hidden="false" customHeight="false" outlineLevel="0" collapsed="false">
      <c r="A32" s="11" t="n">
        <v>31</v>
      </c>
      <c r="B32" s="11" t="s">
        <v>924</v>
      </c>
      <c r="C32" s="11" t="s">
        <v>795</v>
      </c>
      <c r="D32" s="11" t="n">
        <v>1</v>
      </c>
      <c r="E32" s="11" t="n">
        <v>1</v>
      </c>
      <c r="F32" s="11" t="n">
        <v>1</v>
      </c>
      <c r="G32" s="11" t="n">
        <v>0</v>
      </c>
      <c r="H32" s="11" t="n">
        <v>0</v>
      </c>
      <c r="I32" s="11" t="n">
        <v>0</v>
      </c>
      <c r="J32" s="11" t="n">
        <v>1</v>
      </c>
      <c r="K32" s="11" t="n">
        <v>0</v>
      </c>
      <c r="L32" s="11" t="n">
        <v>0</v>
      </c>
      <c r="M32" s="11" t="n">
        <v>0</v>
      </c>
      <c r="N32" s="11" t="n">
        <v>0</v>
      </c>
      <c r="O32" s="11" t="n">
        <v>0</v>
      </c>
      <c r="P32" s="11" t="n">
        <v>0</v>
      </c>
      <c r="Q32" s="11" t="n">
        <v>0</v>
      </c>
      <c r="R32" s="11" t="s">
        <v>20</v>
      </c>
      <c r="S32" s="11" t="s">
        <v>926</v>
      </c>
    </row>
    <row r="33" customFormat="false" ht="23.85" hidden="false" customHeight="false" outlineLevel="0" collapsed="false">
      <c r="A33" s="11" t="n">
        <v>32</v>
      </c>
      <c r="B33" s="11" t="s">
        <v>928</v>
      </c>
      <c r="C33" s="11" t="s">
        <v>795</v>
      </c>
      <c r="D33" s="11" t="n">
        <v>1</v>
      </c>
      <c r="E33" s="11" t="n">
        <v>0</v>
      </c>
      <c r="F33" s="11" t="n">
        <v>1</v>
      </c>
      <c r="G33" s="11" t="n">
        <v>0</v>
      </c>
      <c r="H33" s="11" t="n">
        <v>1</v>
      </c>
      <c r="I33" s="11" t="n">
        <v>0</v>
      </c>
      <c r="J33" s="11" t="n">
        <v>0</v>
      </c>
      <c r="K33" s="11" t="n">
        <v>0</v>
      </c>
      <c r="L33" s="11" t="n">
        <v>0</v>
      </c>
      <c r="M33" s="11" t="n">
        <v>0</v>
      </c>
      <c r="N33" s="11" t="n">
        <v>0</v>
      </c>
      <c r="O33" s="11" t="n">
        <v>0</v>
      </c>
      <c r="P33" s="11" t="n">
        <v>0</v>
      </c>
      <c r="Q33" s="11" t="n">
        <v>0</v>
      </c>
      <c r="R33" s="11" t="s">
        <v>19</v>
      </c>
      <c r="S33" s="11" t="s">
        <v>930</v>
      </c>
    </row>
    <row r="34" customFormat="false" ht="23.85" hidden="false" customHeight="false" outlineLevel="0" collapsed="false">
      <c r="A34" s="11" t="n">
        <v>33</v>
      </c>
      <c r="B34" s="11" t="s">
        <v>932</v>
      </c>
      <c r="C34" s="11" t="s">
        <v>795</v>
      </c>
      <c r="D34" s="11" t="n">
        <v>1</v>
      </c>
      <c r="E34" s="11" t="n">
        <v>0</v>
      </c>
      <c r="F34" s="11" t="n">
        <v>1</v>
      </c>
      <c r="G34" s="11" t="n">
        <v>0</v>
      </c>
      <c r="H34" s="11" t="n">
        <v>1</v>
      </c>
      <c r="I34" s="11" t="n">
        <v>0</v>
      </c>
      <c r="J34" s="11" t="n">
        <v>0</v>
      </c>
      <c r="K34" s="11" t="n">
        <v>0</v>
      </c>
      <c r="L34" s="11" t="n">
        <v>1</v>
      </c>
      <c r="M34" s="11" t="n">
        <v>0</v>
      </c>
      <c r="N34" s="11" t="n">
        <v>0</v>
      </c>
      <c r="O34" s="11" t="n">
        <v>0</v>
      </c>
      <c r="P34" s="11" t="n">
        <v>0</v>
      </c>
      <c r="Q34" s="11" t="n">
        <v>0</v>
      </c>
      <c r="R34" s="11" t="s">
        <v>19</v>
      </c>
      <c r="S34" s="11" t="s">
        <v>19</v>
      </c>
    </row>
    <row r="35" customFormat="false" ht="23.85" hidden="false" customHeight="false" outlineLevel="0" collapsed="false">
      <c r="A35" s="11" t="n">
        <v>34</v>
      </c>
      <c r="B35" s="11" t="s">
        <v>935</v>
      </c>
      <c r="C35" s="11" t="s">
        <v>795</v>
      </c>
      <c r="D35" s="11" t="n">
        <v>1</v>
      </c>
      <c r="E35" s="11" t="n">
        <v>0</v>
      </c>
      <c r="F35" s="11" t="n">
        <v>0</v>
      </c>
      <c r="G35" s="11" t="n">
        <v>1</v>
      </c>
      <c r="H35" s="11" t="n">
        <v>0</v>
      </c>
      <c r="I35" s="11" t="n">
        <v>0</v>
      </c>
      <c r="J35" s="11" t="n">
        <v>0</v>
      </c>
      <c r="K35" s="11" t="n">
        <v>0</v>
      </c>
      <c r="L35" s="11" t="n">
        <v>0</v>
      </c>
      <c r="M35" s="11" t="n">
        <v>0</v>
      </c>
      <c r="N35" s="11" t="n">
        <v>1</v>
      </c>
      <c r="O35" s="11" t="n">
        <v>1</v>
      </c>
      <c r="P35" s="11" t="n">
        <v>0</v>
      </c>
      <c r="Q35" s="11" t="n">
        <v>0</v>
      </c>
      <c r="R35" s="11" t="s">
        <v>22</v>
      </c>
      <c r="S35" s="11" t="s">
        <v>22</v>
      </c>
    </row>
    <row r="36" customFormat="false" ht="15" hidden="false" customHeight="false" outlineLevel="0" collapsed="false">
      <c r="A36" s="11" t="n">
        <v>35</v>
      </c>
      <c r="B36" s="11" t="s">
        <v>132</v>
      </c>
      <c r="C36" s="11" t="s">
        <v>835</v>
      </c>
      <c r="D36" s="11" t="n">
        <v>0</v>
      </c>
      <c r="E36" s="11" t="n">
        <v>0</v>
      </c>
      <c r="F36" s="11" t="n">
        <v>0</v>
      </c>
      <c r="G36" s="11" t="n">
        <v>1</v>
      </c>
      <c r="H36" s="11" t="n">
        <v>0</v>
      </c>
      <c r="I36" s="11" t="n">
        <v>0</v>
      </c>
      <c r="J36" s="11" t="n">
        <v>0</v>
      </c>
      <c r="K36" s="11" t="n">
        <v>0</v>
      </c>
      <c r="L36" s="11" t="n">
        <v>0</v>
      </c>
      <c r="M36" s="11" t="n">
        <v>0</v>
      </c>
      <c r="N36" s="11" t="n">
        <v>0</v>
      </c>
      <c r="O36" s="11" t="n">
        <v>0</v>
      </c>
      <c r="P36" s="11" t="n">
        <v>0</v>
      </c>
      <c r="Q36" s="11" t="n">
        <v>0</v>
      </c>
      <c r="R36" s="11" t="s">
        <v>22</v>
      </c>
      <c r="S36" s="11" t="s">
        <v>22</v>
      </c>
    </row>
    <row r="37" customFormat="false" ht="23.85" hidden="false" customHeight="false" outlineLevel="0" collapsed="false">
      <c r="A37" s="11" t="n">
        <v>36</v>
      </c>
      <c r="B37" s="11" t="s">
        <v>134</v>
      </c>
      <c r="C37" s="11" t="s">
        <v>795</v>
      </c>
      <c r="D37" s="11" t="n">
        <v>1</v>
      </c>
      <c r="E37" s="11" t="n">
        <v>1</v>
      </c>
      <c r="F37" s="11" t="n">
        <v>0</v>
      </c>
      <c r="G37" s="11" t="n">
        <v>0</v>
      </c>
      <c r="H37" s="11" t="n">
        <v>0</v>
      </c>
      <c r="I37" s="11" t="n">
        <v>0</v>
      </c>
      <c r="J37" s="11" t="n">
        <v>1</v>
      </c>
      <c r="K37" s="11" t="n">
        <v>0</v>
      </c>
      <c r="L37" s="11" t="n">
        <v>0</v>
      </c>
      <c r="M37" s="11" t="n">
        <v>0</v>
      </c>
      <c r="N37" s="11" t="n">
        <v>0</v>
      </c>
      <c r="O37" s="11" t="n">
        <v>0</v>
      </c>
      <c r="P37" s="11" t="n">
        <v>0</v>
      </c>
      <c r="Q37" s="11" t="n">
        <v>0</v>
      </c>
      <c r="R37" s="11" t="s">
        <v>20</v>
      </c>
      <c r="S37" s="11" t="s">
        <v>20</v>
      </c>
    </row>
    <row r="38" customFormat="false" ht="23.85" hidden="false" customHeight="false" outlineLevel="0" collapsed="false">
      <c r="A38" s="11" t="n">
        <v>37</v>
      </c>
      <c r="B38" s="11" t="s">
        <v>944</v>
      </c>
      <c r="C38" s="11" t="s">
        <v>795</v>
      </c>
      <c r="D38" s="11" t="n">
        <v>1</v>
      </c>
      <c r="E38" s="11" t="n">
        <v>1</v>
      </c>
      <c r="F38" s="11" t="n">
        <v>0</v>
      </c>
      <c r="G38" s="11" t="n">
        <v>0</v>
      </c>
      <c r="H38" s="11" t="n">
        <v>0</v>
      </c>
      <c r="I38" s="11" t="n">
        <v>0</v>
      </c>
      <c r="J38" s="11" t="n">
        <v>0</v>
      </c>
      <c r="K38" s="11" t="n">
        <v>0</v>
      </c>
      <c r="L38" s="11" t="n">
        <v>0</v>
      </c>
      <c r="M38" s="11" t="n">
        <v>0</v>
      </c>
      <c r="N38" s="11" t="n">
        <v>0</v>
      </c>
      <c r="O38" s="11" t="n">
        <v>0</v>
      </c>
      <c r="P38" s="11" t="n">
        <v>0</v>
      </c>
      <c r="Q38" s="11" t="n">
        <v>0</v>
      </c>
      <c r="R38" s="11" t="s">
        <v>20</v>
      </c>
      <c r="S38" s="11" t="s">
        <v>20</v>
      </c>
    </row>
    <row r="39" customFormat="false" ht="23.85" hidden="false" customHeight="false" outlineLevel="0" collapsed="false">
      <c r="A39" s="11" t="n">
        <v>38</v>
      </c>
      <c r="B39" s="11" t="s">
        <v>947</v>
      </c>
      <c r="C39" s="11" t="s">
        <v>795</v>
      </c>
      <c r="D39" s="11" t="n">
        <v>1</v>
      </c>
      <c r="E39" s="11" t="n">
        <v>0</v>
      </c>
      <c r="F39" s="11" t="n">
        <v>1</v>
      </c>
      <c r="G39" s="11" t="n">
        <v>0</v>
      </c>
      <c r="H39" s="11" t="n">
        <v>1</v>
      </c>
      <c r="I39" s="11" t="n">
        <v>0</v>
      </c>
      <c r="J39" s="11" t="n">
        <v>0</v>
      </c>
      <c r="K39" s="11" t="n">
        <v>0</v>
      </c>
      <c r="L39" s="11" t="n">
        <v>1</v>
      </c>
      <c r="M39" s="11" t="n">
        <v>0</v>
      </c>
      <c r="N39" s="11" t="n">
        <v>0</v>
      </c>
      <c r="O39" s="11" t="n">
        <v>0</v>
      </c>
      <c r="P39" s="11" t="n">
        <v>0</v>
      </c>
      <c r="Q39" s="11" t="n">
        <v>0</v>
      </c>
      <c r="R39" s="11" t="s">
        <v>19</v>
      </c>
      <c r="S39" s="11" t="s">
        <v>19</v>
      </c>
    </row>
    <row r="40" customFormat="false" ht="23.85" hidden="false" customHeight="false" outlineLevel="0" collapsed="false">
      <c r="A40" s="11" t="n">
        <v>39</v>
      </c>
      <c r="B40" s="11" t="s">
        <v>949</v>
      </c>
      <c r="C40" s="11" t="s">
        <v>795</v>
      </c>
      <c r="D40" s="11" t="n">
        <v>1</v>
      </c>
      <c r="E40" s="11" t="n">
        <v>1</v>
      </c>
      <c r="F40" s="11" t="n">
        <v>0</v>
      </c>
      <c r="G40" s="11" t="n">
        <v>0</v>
      </c>
      <c r="H40" s="11" t="n">
        <v>0</v>
      </c>
      <c r="I40" s="11" t="n">
        <v>1</v>
      </c>
      <c r="J40" s="11" t="n">
        <v>0</v>
      </c>
      <c r="K40" s="11" t="n">
        <v>0</v>
      </c>
      <c r="L40" s="11" t="n">
        <v>0</v>
      </c>
      <c r="M40" s="11" t="n">
        <v>0</v>
      </c>
      <c r="N40" s="11" t="n">
        <v>0</v>
      </c>
      <c r="O40" s="11" t="n">
        <v>0</v>
      </c>
      <c r="P40" s="11" t="n">
        <v>0</v>
      </c>
      <c r="Q40" s="11" t="n">
        <v>0</v>
      </c>
      <c r="R40" s="11" t="s">
        <v>20</v>
      </c>
      <c r="S40" s="11" t="s">
        <v>951</v>
      </c>
    </row>
    <row r="41" customFormat="false" ht="23.85" hidden="false" customHeight="false" outlineLevel="0" collapsed="false">
      <c r="A41" s="11" t="n">
        <v>40</v>
      </c>
      <c r="B41" s="11" t="s">
        <v>952</v>
      </c>
      <c r="C41" s="11" t="s">
        <v>795</v>
      </c>
      <c r="D41" s="11" t="n">
        <v>1</v>
      </c>
      <c r="E41" s="11" t="n">
        <v>1</v>
      </c>
      <c r="F41" s="11" t="n">
        <v>0</v>
      </c>
      <c r="G41" s="11" t="n">
        <v>0</v>
      </c>
      <c r="H41" s="11" t="n">
        <v>0</v>
      </c>
      <c r="I41" s="11" t="n">
        <v>1</v>
      </c>
      <c r="J41" s="11" t="n">
        <v>0</v>
      </c>
      <c r="K41" s="11" t="n">
        <v>0</v>
      </c>
      <c r="L41" s="11" t="n">
        <v>0</v>
      </c>
      <c r="M41" s="11" t="n">
        <v>0</v>
      </c>
      <c r="N41" s="11" t="n">
        <v>0</v>
      </c>
      <c r="O41" s="11" t="n">
        <v>0</v>
      </c>
      <c r="P41" s="11" t="n">
        <v>0</v>
      </c>
      <c r="Q41" s="11" t="n">
        <v>0</v>
      </c>
      <c r="R41" s="11" t="s">
        <v>20</v>
      </c>
      <c r="S41" s="11" t="s">
        <v>954</v>
      </c>
    </row>
    <row r="42" customFormat="false" ht="23.85" hidden="false" customHeight="false" outlineLevel="0" collapsed="false">
      <c r="A42" s="11" t="n">
        <v>41</v>
      </c>
      <c r="B42" s="11" t="s">
        <v>956</v>
      </c>
      <c r="C42" s="11" t="s">
        <v>795</v>
      </c>
      <c r="D42" s="11" t="n">
        <v>1</v>
      </c>
      <c r="E42" s="11" t="n">
        <v>0</v>
      </c>
      <c r="F42" s="11" t="n">
        <v>1</v>
      </c>
      <c r="G42" s="11" t="n">
        <v>0</v>
      </c>
      <c r="H42" s="11" t="n">
        <v>1</v>
      </c>
      <c r="I42" s="11" t="n">
        <v>0</v>
      </c>
      <c r="J42" s="11" t="n">
        <v>0</v>
      </c>
      <c r="K42" s="11" t="n">
        <v>0</v>
      </c>
      <c r="L42" s="11" t="n">
        <v>0</v>
      </c>
      <c r="M42" s="11" t="n">
        <v>0</v>
      </c>
      <c r="N42" s="11" t="n">
        <v>0</v>
      </c>
      <c r="O42" s="11" t="n">
        <v>0</v>
      </c>
      <c r="P42" s="11" t="n">
        <v>0</v>
      </c>
      <c r="Q42" s="11" t="n">
        <v>0</v>
      </c>
      <c r="R42" s="11" t="s">
        <v>19</v>
      </c>
      <c r="S42" s="11" t="s">
        <v>21</v>
      </c>
    </row>
    <row r="43" customFormat="false" ht="23.85" hidden="false" customHeight="false" outlineLevel="0" collapsed="false">
      <c r="A43" s="11" t="n">
        <v>42</v>
      </c>
      <c r="B43" s="11" t="s">
        <v>959</v>
      </c>
      <c r="C43" s="11" t="s">
        <v>795</v>
      </c>
      <c r="D43" s="11" t="n">
        <v>1</v>
      </c>
      <c r="E43" s="11" t="n">
        <v>0</v>
      </c>
      <c r="F43" s="11" t="n">
        <v>0</v>
      </c>
      <c r="G43" s="11" t="n">
        <v>1</v>
      </c>
      <c r="H43" s="11" t="n">
        <v>0</v>
      </c>
      <c r="I43" s="11" t="n">
        <v>0</v>
      </c>
      <c r="J43" s="11" t="n">
        <v>0</v>
      </c>
      <c r="K43" s="11" t="n">
        <v>0</v>
      </c>
      <c r="L43" s="11" t="n">
        <v>0</v>
      </c>
      <c r="M43" s="11" t="n">
        <v>0</v>
      </c>
      <c r="N43" s="11" t="n">
        <v>1</v>
      </c>
      <c r="O43" s="11" t="n">
        <v>1</v>
      </c>
      <c r="P43" s="11" t="n">
        <v>1</v>
      </c>
      <c r="Q43" s="11" t="n">
        <v>1</v>
      </c>
      <c r="R43" s="11" t="s">
        <v>22</v>
      </c>
      <c r="S43" s="11" t="s">
        <v>22</v>
      </c>
    </row>
    <row r="44" customFormat="false" ht="23.85" hidden="false" customHeight="false" outlineLevel="0" collapsed="false">
      <c r="A44" s="11" t="n">
        <v>43</v>
      </c>
      <c r="B44" s="11" t="s">
        <v>962</v>
      </c>
      <c r="C44" s="11" t="s">
        <v>795</v>
      </c>
      <c r="D44" s="11" t="n">
        <v>1</v>
      </c>
      <c r="E44" s="11" t="n">
        <v>0</v>
      </c>
      <c r="F44" s="11" t="n">
        <v>1</v>
      </c>
      <c r="G44" s="11" t="n">
        <v>0</v>
      </c>
      <c r="H44" s="11" t="n">
        <v>1</v>
      </c>
      <c r="I44" s="11" t="n">
        <v>0</v>
      </c>
      <c r="J44" s="11" t="n">
        <v>0</v>
      </c>
      <c r="K44" s="11" t="n">
        <v>0</v>
      </c>
      <c r="L44" s="11" t="n">
        <v>0</v>
      </c>
      <c r="M44" s="11" t="n">
        <v>0</v>
      </c>
      <c r="N44" s="11" t="n">
        <v>0</v>
      </c>
      <c r="O44" s="11" t="n">
        <v>0</v>
      </c>
      <c r="P44" s="11" t="n">
        <v>0</v>
      </c>
      <c r="Q44" s="11" t="n">
        <v>0</v>
      </c>
      <c r="R44" s="11" t="s">
        <v>19</v>
      </c>
      <c r="S44" s="11" t="s">
        <v>109</v>
      </c>
    </row>
    <row r="45" customFormat="false" ht="23.85" hidden="false" customHeight="false" outlineLevel="0" collapsed="false">
      <c r="A45" s="11" t="n">
        <v>44</v>
      </c>
      <c r="B45" s="11" t="s">
        <v>965</v>
      </c>
      <c r="C45" s="11" t="s">
        <v>795</v>
      </c>
      <c r="D45" s="11" t="n">
        <v>1</v>
      </c>
      <c r="E45" s="11" t="n">
        <v>0</v>
      </c>
      <c r="F45" s="11" t="n">
        <v>0</v>
      </c>
      <c r="G45" s="11" t="n">
        <v>1</v>
      </c>
      <c r="H45" s="11" t="n">
        <v>0</v>
      </c>
      <c r="I45" s="11" t="n">
        <v>0</v>
      </c>
      <c r="J45" s="11" t="n">
        <v>0</v>
      </c>
      <c r="K45" s="11" t="n">
        <v>0</v>
      </c>
      <c r="L45" s="11" t="n">
        <v>0</v>
      </c>
      <c r="M45" s="11" t="n">
        <v>1</v>
      </c>
      <c r="N45" s="11" t="n">
        <v>1</v>
      </c>
      <c r="O45" s="11" t="n">
        <v>0</v>
      </c>
      <c r="P45" s="11" t="n">
        <v>0</v>
      </c>
      <c r="Q45" s="11" t="n">
        <v>0</v>
      </c>
      <c r="R45" s="11" t="s">
        <v>22</v>
      </c>
      <c r="S45" s="11" t="s">
        <v>22</v>
      </c>
    </row>
    <row r="46" customFormat="false" ht="23.85" hidden="false" customHeight="false" outlineLevel="0" collapsed="false">
      <c r="A46" s="11" t="n">
        <v>45</v>
      </c>
      <c r="B46" s="11" t="s">
        <v>968</v>
      </c>
      <c r="C46" s="11" t="s">
        <v>870</v>
      </c>
      <c r="D46" s="11" t="n">
        <v>0</v>
      </c>
      <c r="E46" s="11" t="n">
        <v>0</v>
      </c>
      <c r="F46" s="11" t="n">
        <v>0</v>
      </c>
      <c r="G46" s="11" t="n">
        <v>1</v>
      </c>
      <c r="H46" s="11" t="n">
        <v>0</v>
      </c>
      <c r="I46" s="11" t="n">
        <v>0</v>
      </c>
      <c r="J46" s="11" t="n">
        <v>0</v>
      </c>
      <c r="K46" s="11" t="n">
        <v>0</v>
      </c>
      <c r="L46" s="11" t="n">
        <v>0</v>
      </c>
      <c r="M46" s="11" t="n">
        <v>0</v>
      </c>
      <c r="N46" s="11" t="n">
        <v>0</v>
      </c>
      <c r="O46" s="11" t="n">
        <v>0</v>
      </c>
      <c r="P46" s="11" t="n">
        <v>0</v>
      </c>
      <c r="Q46" s="11" t="n">
        <v>0</v>
      </c>
      <c r="R46" s="11" t="s">
        <v>22</v>
      </c>
      <c r="S46" s="11" t="s">
        <v>22</v>
      </c>
    </row>
    <row r="47" customFormat="false" ht="23.85" hidden="false" customHeight="false" outlineLevel="0" collapsed="false">
      <c r="A47" s="11" t="n">
        <v>46</v>
      </c>
      <c r="B47" s="11" t="s">
        <v>970</v>
      </c>
      <c r="C47" s="11" t="s">
        <v>795</v>
      </c>
      <c r="D47" s="11" t="n">
        <v>1</v>
      </c>
      <c r="E47" s="11" t="n">
        <v>1</v>
      </c>
      <c r="F47" s="11" t="n">
        <v>1</v>
      </c>
      <c r="G47" s="11" t="n">
        <v>0</v>
      </c>
      <c r="H47" s="11" t="n">
        <v>0</v>
      </c>
      <c r="I47" s="11" t="n">
        <v>0</v>
      </c>
      <c r="J47" s="11" t="n">
        <v>0</v>
      </c>
      <c r="K47" s="11" t="n">
        <v>0</v>
      </c>
      <c r="L47" s="11" t="n">
        <v>0</v>
      </c>
      <c r="M47" s="11" t="n">
        <v>0</v>
      </c>
      <c r="N47" s="11" t="n">
        <v>0</v>
      </c>
      <c r="O47" s="11" t="n">
        <v>0</v>
      </c>
      <c r="P47" s="11" t="n">
        <v>0</v>
      </c>
      <c r="Q47" s="11" t="n">
        <v>0</v>
      </c>
      <c r="R47" s="11" t="s">
        <v>20</v>
      </c>
      <c r="S47" s="11" t="s">
        <v>67</v>
      </c>
    </row>
    <row r="48" customFormat="false" ht="23.85" hidden="false" customHeight="false" outlineLevel="0" collapsed="false">
      <c r="A48" s="11" t="n">
        <v>47</v>
      </c>
      <c r="B48" s="11" t="s">
        <v>973</v>
      </c>
      <c r="C48" s="11" t="s">
        <v>795</v>
      </c>
      <c r="D48" s="11" t="n">
        <v>1</v>
      </c>
      <c r="E48" s="11" t="n">
        <v>1</v>
      </c>
      <c r="F48" s="11" t="n">
        <v>1</v>
      </c>
      <c r="G48" s="11" t="n">
        <v>1</v>
      </c>
      <c r="H48" s="11" t="n">
        <v>0</v>
      </c>
      <c r="I48" s="11" t="n">
        <v>0</v>
      </c>
      <c r="J48" s="11" t="n">
        <v>0</v>
      </c>
      <c r="K48" s="11" t="n">
        <v>0</v>
      </c>
      <c r="L48" s="11" t="n">
        <v>1</v>
      </c>
      <c r="M48" s="11" t="n">
        <v>0</v>
      </c>
      <c r="N48" s="11" t="n">
        <v>0</v>
      </c>
      <c r="O48" s="11" t="n">
        <v>0</v>
      </c>
      <c r="P48" s="11" t="n">
        <v>0</v>
      </c>
      <c r="Q48" s="11" t="n">
        <v>0</v>
      </c>
      <c r="R48" s="11" t="s">
        <v>22</v>
      </c>
      <c r="S48" s="11" t="s">
        <v>975</v>
      </c>
    </row>
    <row r="49" customFormat="false" ht="23.85" hidden="false" customHeight="false" outlineLevel="0" collapsed="false">
      <c r="A49" s="11" t="n">
        <v>48</v>
      </c>
      <c r="B49" s="11" t="s">
        <v>976</v>
      </c>
      <c r="C49" s="11" t="s">
        <v>795</v>
      </c>
      <c r="D49" s="11" t="n">
        <v>1</v>
      </c>
      <c r="E49" s="11" t="n">
        <v>1</v>
      </c>
      <c r="F49" s="11" t="n">
        <v>1</v>
      </c>
      <c r="G49" s="11" t="n">
        <v>0</v>
      </c>
      <c r="H49" s="11" t="n">
        <v>0</v>
      </c>
      <c r="I49" s="11" t="n">
        <v>0</v>
      </c>
      <c r="J49" s="11" t="n">
        <v>0</v>
      </c>
      <c r="K49" s="11" t="n">
        <v>0</v>
      </c>
      <c r="L49" s="11" t="n">
        <v>1</v>
      </c>
      <c r="M49" s="11" t="n">
        <v>0</v>
      </c>
      <c r="N49" s="11" t="n">
        <v>1</v>
      </c>
      <c r="O49" s="11" t="n">
        <v>1</v>
      </c>
      <c r="P49" s="11" t="n">
        <v>0</v>
      </c>
      <c r="Q49" s="11" t="n">
        <v>0</v>
      </c>
      <c r="R49" s="11" t="s">
        <v>20</v>
      </c>
      <c r="S49" s="11" t="s">
        <v>975</v>
      </c>
    </row>
    <row r="50" customFormat="false" ht="23.85" hidden="false" customHeight="false" outlineLevel="0" collapsed="false">
      <c r="A50" s="11" t="n">
        <v>49</v>
      </c>
      <c r="B50" s="11" t="s">
        <v>979</v>
      </c>
      <c r="C50" s="11" t="s">
        <v>795</v>
      </c>
      <c r="D50" s="11" t="n">
        <v>1</v>
      </c>
      <c r="E50" s="11" t="n">
        <v>1</v>
      </c>
      <c r="F50" s="11" t="n">
        <v>0</v>
      </c>
      <c r="G50" s="11" t="n">
        <v>0</v>
      </c>
      <c r="H50" s="11" t="n">
        <v>0</v>
      </c>
      <c r="I50" s="11" t="n">
        <v>0</v>
      </c>
      <c r="J50" s="11" t="n">
        <v>1</v>
      </c>
      <c r="K50" s="11" t="n">
        <v>0</v>
      </c>
      <c r="L50" s="11" t="n">
        <v>0</v>
      </c>
      <c r="M50" s="11" t="n">
        <v>0</v>
      </c>
      <c r="N50" s="11" t="n">
        <v>0</v>
      </c>
      <c r="O50" s="11" t="n">
        <v>0</v>
      </c>
      <c r="P50" s="11" t="n">
        <v>0</v>
      </c>
      <c r="Q50" s="11" t="n">
        <v>0</v>
      </c>
      <c r="R50" s="11" t="s">
        <v>20</v>
      </c>
      <c r="S50" s="11" t="s">
        <v>20</v>
      </c>
    </row>
    <row r="51" customFormat="false" ht="23.85" hidden="false" customHeight="false" outlineLevel="0" collapsed="false">
      <c r="A51" s="11" t="n">
        <v>50</v>
      </c>
      <c r="B51" s="11" t="s">
        <v>981</v>
      </c>
      <c r="C51" s="11" t="s">
        <v>795</v>
      </c>
      <c r="D51" s="11" t="n">
        <v>1</v>
      </c>
      <c r="E51" s="11" t="n">
        <v>1</v>
      </c>
      <c r="F51" s="11" t="n">
        <v>1</v>
      </c>
      <c r="G51" s="11" t="n">
        <v>0</v>
      </c>
      <c r="H51" s="11" t="n">
        <v>0</v>
      </c>
      <c r="I51" s="11" t="n">
        <v>0</v>
      </c>
      <c r="J51" s="11" t="n">
        <v>1</v>
      </c>
      <c r="K51" s="11" t="n">
        <v>0</v>
      </c>
      <c r="L51" s="11" t="n">
        <v>0</v>
      </c>
      <c r="M51" s="11" t="n">
        <v>0</v>
      </c>
      <c r="N51" s="11" t="n">
        <v>0</v>
      </c>
      <c r="O51" s="11" t="n">
        <v>0</v>
      </c>
      <c r="P51" s="11" t="n">
        <v>0</v>
      </c>
      <c r="Q51" s="11" t="n">
        <v>0</v>
      </c>
      <c r="R51" s="11" t="s">
        <v>20</v>
      </c>
      <c r="S51" s="11" t="s">
        <v>67</v>
      </c>
    </row>
    <row r="52" customFormat="false" ht="23.85" hidden="false" customHeight="false" outlineLevel="0" collapsed="false">
      <c r="A52" s="11" t="n">
        <v>51</v>
      </c>
      <c r="B52" s="11" t="s">
        <v>983</v>
      </c>
      <c r="C52" s="11" t="s">
        <v>795</v>
      </c>
      <c r="D52" s="11" t="n">
        <v>1</v>
      </c>
      <c r="E52" s="11" t="n">
        <v>1</v>
      </c>
      <c r="F52" s="11" t="n">
        <v>0</v>
      </c>
      <c r="G52" s="11" t="n">
        <v>0</v>
      </c>
      <c r="H52" s="11" t="n">
        <v>1</v>
      </c>
      <c r="I52" s="11" t="n">
        <v>0</v>
      </c>
      <c r="J52" s="11" t="n">
        <v>1</v>
      </c>
      <c r="K52" s="11" t="n">
        <v>0</v>
      </c>
      <c r="L52" s="11" t="n">
        <v>0</v>
      </c>
      <c r="M52" s="11" t="n">
        <v>0</v>
      </c>
      <c r="N52" s="11" t="n">
        <v>0</v>
      </c>
      <c r="O52" s="11" t="n">
        <v>0</v>
      </c>
      <c r="P52" s="11" t="n">
        <v>0</v>
      </c>
      <c r="Q52" s="11" t="n">
        <v>0</v>
      </c>
      <c r="R52" s="11" t="s">
        <v>20</v>
      </c>
      <c r="S52" s="11" t="s">
        <v>985</v>
      </c>
    </row>
    <row r="53" customFormat="false" ht="23.85" hidden="false" customHeight="false" outlineLevel="0" collapsed="false">
      <c r="A53" s="11" t="n">
        <v>52</v>
      </c>
      <c r="B53" s="11" t="s">
        <v>986</v>
      </c>
      <c r="C53" s="11" t="s">
        <v>795</v>
      </c>
      <c r="D53" s="11" t="n">
        <v>1</v>
      </c>
      <c r="E53" s="11" t="n">
        <v>1</v>
      </c>
      <c r="F53" s="11" t="n">
        <v>0</v>
      </c>
      <c r="G53" s="11" t="n">
        <v>0</v>
      </c>
      <c r="H53" s="11" t="n">
        <v>0</v>
      </c>
      <c r="I53" s="11" t="n">
        <v>0</v>
      </c>
      <c r="J53" s="11" t="n">
        <v>1</v>
      </c>
      <c r="K53" s="11" t="n">
        <v>0</v>
      </c>
      <c r="L53" s="11" t="n">
        <v>0</v>
      </c>
      <c r="M53" s="11" t="n">
        <v>0</v>
      </c>
      <c r="N53" s="11" t="n">
        <v>0</v>
      </c>
      <c r="O53" s="11" t="n">
        <v>0</v>
      </c>
      <c r="P53" s="11" t="n">
        <v>0</v>
      </c>
      <c r="Q53" s="11" t="n">
        <v>0</v>
      </c>
      <c r="R53" s="11" t="s">
        <v>20</v>
      </c>
      <c r="S53" s="11" t="s">
        <v>988</v>
      </c>
    </row>
    <row r="54" customFormat="false" ht="23.85" hidden="false" customHeight="false" outlineLevel="0" collapsed="false">
      <c r="A54" s="11" t="n">
        <v>53</v>
      </c>
      <c r="B54" s="11" t="s">
        <v>990</v>
      </c>
      <c r="C54" s="11" t="s">
        <v>795</v>
      </c>
      <c r="D54" s="11" t="n">
        <v>1</v>
      </c>
      <c r="E54" s="11" t="n">
        <v>1</v>
      </c>
      <c r="F54" s="11" t="n">
        <v>0</v>
      </c>
      <c r="G54" s="11" t="n">
        <v>0</v>
      </c>
      <c r="H54" s="11" t="n">
        <v>0</v>
      </c>
      <c r="I54" s="11" t="n">
        <v>0</v>
      </c>
      <c r="J54" s="11" t="n">
        <v>1</v>
      </c>
      <c r="K54" s="11" t="n">
        <v>0</v>
      </c>
      <c r="L54" s="11" t="n">
        <v>0</v>
      </c>
      <c r="M54" s="11" t="n">
        <v>0</v>
      </c>
      <c r="N54" s="11" t="n">
        <v>0</v>
      </c>
      <c r="O54" s="11" t="n">
        <v>0</v>
      </c>
      <c r="P54" s="11" t="n">
        <v>0</v>
      </c>
      <c r="Q54" s="11" t="n">
        <v>0</v>
      </c>
      <c r="R54" s="11" t="s">
        <v>20</v>
      </c>
      <c r="S54" s="11" t="s">
        <v>20</v>
      </c>
    </row>
    <row r="55" customFormat="false" ht="23.85" hidden="false" customHeight="false" outlineLevel="0" collapsed="false">
      <c r="A55" s="11" t="n">
        <v>54</v>
      </c>
      <c r="B55" s="11" t="s">
        <v>993</v>
      </c>
      <c r="C55" s="11" t="s">
        <v>795</v>
      </c>
      <c r="D55" s="11" t="n">
        <v>1</v>
      </c>
      <c r="E55" s="11" t="n">
        <v>1</v>
      </c>
      <c r="F55" s="11" t="n">
        <v>1</v>
      </c>
      <c r="G55" s="11" t="n">
        <v>0</v>
      </c>
      <c r="H55" s="11" t="n">
        <v>0</v>
      </c>
      <c r="I55" s="11" t="n">
        <v>0</v>
      </c>
      <c r="J55" s="11" t="n">
        <v>1</v>
      </c>
      <c r="K55" s="11" t="n">
        <v>0</v>
      </c>
      <c r="L55" s="11" t="n">
        <v>0</v>
      </c>
      <c r="M55" s="11" t="n">
        <v>0</v>
      </c>
      <c r="N55" s="11" t="n">
        <v>0</v>
      </c>
      <c r="O55" s="11" t="n">
        <v>0</v>
      </c>
      <c r="P55" s="11" t="n">
        <v>0</v>
      </c>
      <c r="Q55" s="11" t="n">
        <v>0</v>
      </c>
      <c r="R55" s="11" t="s">
        <v>20</v>
      </c>
      <c r="S55" s="11" t="s">
        <v>926</v>
      </c>
    </row>
    <row r="56" customFormat="false" ht="23.85" hidden="false" customHeight="false" outlineLevel="0" collapsed="false">
      <c r="A56" s="11" t="n">
        <v>55</v>
      </c>
      <c r="B56" s="11" t="s">
        <v>996</v>
      </c>
      <c r="C56" s="11" t="s">
        <v>795</v>
      </c>
      <c r="D56" s="11" t="n">
        <v>1</v>
      </c>
      <c r="E56" s="11" t="n">
        <v>1</v>
      </c>
      <c r="F56" s="11" t="n">
        <v>1</v>
      </c>
      <c r="G56" s="11" t="n">
        <v>0</v>
      </c>
      <c r="H56" s="11" t="n">
        <v>0</v>
      </c>
      <c r="I56" s="11" t="n">
        <v>0</v>
      </c>
      <c r="J56" s="11" t="n">
        <v>1</v>
      </c>
      <c r="K56" s="11" t="n">
        <v>0</v>
      </c>
      <c r="L56" s="11" t="n">
        <v>0</v>
      </c>
      <c r="M56" s="11" t="n">
        <v>0</v>
      </c>
      <c r="N56" s="11" t="n">
        <v>0</v>
      </c>
      <c r="O56" s="11" t="n">
        <v>0</v>
      </c>
      <c r="P56" s="11" t="n">
        <v>0</v>
      </c>
      <c r="Q56" s="11" t="n">
        <v>0</v>
      </c>
      <c r="R56" s="11" t="s">
        <v>20</v>
      </c>
      <c r="S56" s="11" t="s">
        <v>67</v>
      </c>
    </row>
    <row r="57" customFormat="false" ht="35.05" hidden="false" customHeight="false" outlineLevel="0" collapsed="false">
      <c r="A57" s="11" t="n">
        <v>56</v>
      </c>
      <c r="B57" s="11" t="s">
        <v>175</v>
      </c>
      <c r="C57" s="11" t="s">
        <v>795</v>
      </c>
      <c r="D57" s="11" t="n">
        <v>1</v>
      </c>
      <c r="E57" s="11" t="n">
        <v>1</v>
      </c>
      <c r="F57" s="11" t="n">
        <v>1</v>
      </c>
      <c r="G57" s="11" t="n">
        <v>0</v>
      </c>
      <c r="H57" s="11" t="n">
        <v>0</v>
      </c>
      <c r="I57" s="11" t="n">
        <v>1</v>
      </c>
      <c r="J57" s="11" t="n">
        <v>0</v>
      </c>
      <c r="K57" s="11" t="n">
        <v>0</v>
      </c>
      <c r="L57" s="11" t="n">
        <v>0</v>
      </c>
      <c r="M57" s="11" t="n">
        <v>0</v>
      </c>
      <c r="N57" s="11" t="n">
        <v>0</v>
      </c>
      <c r="O57" s="11" t="n">
        <v>0</v>
      </c>
      <c r="P57" s="11" t="n">
        <v>0</v>
      </c>
      <c r="Q57" s="11" t="n">
        <v>0</v>
      </c>
      <c r="R57" s="11" t="s">
        <v>20</v>
      </c>
      <c r="S57" s="11" t="s">
        <v>67</v>
      </c>
    </row>
    <row r="58" customFormat="false" ht="23.85" hidden="false" customHeight="false" outlineLevel="0" collapsed="false">
      <c r="A58" s="11" t="n">
        <v>57</v>
      </c>
      <c r="B58" s="11" t="s">
        <v>177</v>
      </c>
      <c r="C58" s="11" t="s">
        <v>835</v>
      </c>
      <c r="D58" s="11" t="n">
        <v>0</v>
      </c>
      <c r="E58" s="11" t="n">
        <v>0</v>
      </c>
      <c r="F58" s="11" t="n">
        <v>1</v>
      </c>
      <c r="G58" s="11" t="n">
        <v>0</v>
      </c>
      <c r="H58" s="11" t="n">
        <v>1</v>
      </c>
      <c r="I58" s="11" t="n">
        <v>0</v>
      </c>
      <c r="J58" s="11" t="n">
        <v>0</v>
      </c>
      <c r="K58" s="11" t="n">
        <v>0</v>
      </c>
      <c r="L58" s="11" t="n">
        <v>0</v>
      </c>
      <c r="M58" s="11" t="n">
        <v>0</v>
      </c>
      <c r="N58" s="11" t="n">
        <v>0</v>
      </c>
      <c r="O58" s="11" t="n">
        <v>0</v>
      </c>
      <c r="P58" s="11" t="n">
        <v>0</v>
      </c>
      <c r="Q58" s="11" t="n">
        <v>0</v>
      </c>
      <c r="R58" s="11" t="s">
        <v>19</v>
      </c>
      <c r="S58" s="11" t="s">
        <v>21</v>
      </c>
    </row>
    <row r="59" customFormat="false" ht="23.85" hidden="false" customHeight="false" outlineLevel="0" collapsed="false">
      <c r="A59" s="11" t="n">
        <v>58</v>
      </c>
      <c r="B59" s="11" t="s">
        <v>179</v>
      </c>
      <c r="C59" s="11" t="s">
        <v>795</v>
      </c>
      <c r="D59" s="11" t="n">
        <v>1</v>
      </c>
      <c r="E59" s="11" t="n">
        <v>1</v>
      </c>
      <c r="F59" s="11" t="n">
        <v>0</v>
      </c>
      <c r="G59" s="11" t="n">
        <v>1</v>
      </c>
      <c r="H59" s="11" t="n">
        <v>0</v>
      </c>
      <c r="I59" s="11" t="n">
        <v>1</v>
      </c>
      <c r="J59" s="11" t="n">
        <v>0</v>
      </c>
      <c r="K59" s="11" t="n">
        <v>0</v>
      </c>
      <c r="L59" s="11" t="n">
        <v>0</v>
      </c>
      <c r="M59" s="11" t="n">
        <v>1</v>
      </c>
      <c r="N59" s="11" t="n">
        <v>1</v>
      </c>
      <c r="O59" s="11" t="n">
        <v>0</v>
      </c>
      <c r="P59" s="11" t="n">
        <v>1</v>
      </c>
      <c r="Q59" s="11" t="n">
        <v>1</v>
      </c>
      <c r="R59" s="11" t="s">
        <v>22</v>
      </c>
      <c r="S59" s="11" t="s">
        <v>1004</v>
      </c>
    </row>
    <row r="60" customFormat="false" ht="15" hidden="false" customHeight="false" outlineLevel="0" collapsed="false">
      <c r="A60" s="1" t="n">
        <v>59</v>
      </c>
      <c r="B60" s="1" t="s">
        <v>181</v>
      </c>
      <c r="C60" s="1" t="s">
        <v>795</v>
      </c>
      <c r="D60" s="1" t="n">
        <v>1</v>
      </c>
      <c r="E60" s="1" t="n">
        <v>0</v>
      </c>
      <c r="F60" s="1" t="n">
        <v>1</v>
      </c>
      <c r="G60" s="1" t="n">
        <v>1</v>
      </c>
      <c r="H60" s="1" t="n">
        <v>0</v>
      </c>
      <c r="I60" s="1" t="n">
        <v>0</v>
      </c>
      <c r="J60" s="1" t="n">
        <v>0</v>
      </c>
      <c r="K60" s="1" t="n">
        <v>0</v>
      </c>
      <c r="L60" s="1" t="n">
        <v>0</v>
      </c>
      <c r="M60" s="1" t="n">
        <v>0</v>
      </c>
      <c r="N60" s="1" t="n">
        <v>1</v>
      </c>
      <c r="O60" s="1" t="n">
        <v>1</v>
      </c>
      <c r="P60" s="1" t="n">
        <v>0</v>
      </c>
      <c r="Q60" s="1" t="n">
        <v>0</v>
      </c>
      <c r="R60" s="1" t="s">
        <v>22</v>
      </c>
      <c r="S60" s="1" t="s">
        <v>1778</v>
      </c>
    </row>
  </sheetData>
  <conditionalFormatting sqref="E2:Q59">
    <cfRule type="expression" priority="2" aboveAverage="0" equalAverage="0" bottom="0" percent="0" rank="0" text="" dxfId="39">
      <formula>E2=1</formula>
    </cfRule>
    <cfRule type="expression" priority="3" aboveAverage="0" equalAverage="0" bottom="0" percent="0" rank="0" text="" dxfId="40">
      <formula>E2=0</formula>
    </cfRule>
  </conditionalFormatting>
  <conditionalFormatting sqref="C2:C59">
    <cfRule type="expression" priority="4" aboveAverage="0" equalAverage="0" bottom="0" percent="0" rank="0" text="" dxfId="41">
      <formula>C2="Include"</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28"/>
    <col collapsed="false" customWidth="true" hidden="false" outlineLevel="0" max="2" min="2" style="1" width="18"/>
    <col collapsed="false" customWidth="true" hidden="false" outlineLevel="0" max="4" min="4" style="1" width="28"/>
    <col collapsed="false" customWidth="true" hidden="false" outlineLevel="0" max="5" min="5" style="1" width="18"/>
    <col collapsed="false" customWidth="true" hidden="false" outlineLevel="0" max="7" min="7" style="1" width="28"/>
    <col collapsed="false" customWidth="true" hidden="false" outlineLevel="0" max="8" min="8" style="1" width="18"/>
    <col collapsed="false" customWidth="true" hidden="false" outlineLevel="0" max="10" min="10" style="1" width="28"/>
    <col collapsed="false" customWidth="true" hidden="false" outlineLevel="0" max="11" min="11" style="1" width="18"/>
  </cols>
  <sheetData>
    <row r="1" customFormat="false" ht="23.85" hidden="false" customHeight="false" outlineLevel="0" collapsed="false">
      <c r="A1" s="6" t="s">
        <v>1779</v>
      </c>
      <c r="B1" s="6" t="s">
        <v>1462</v>
      </c>
      <c r="C1" s="5"/>
      <c r="D1" s="6" t="s">
        <v>1463</v>
      </c>
      <c r="E1" s="6" t="s">
        <v>1780</v>
      </c>
      <c r="F1" s="5"/>
      <c r="G1" s="6" t="s">
        <v>1781</v>
      </c>
      <c r="H1" s="6" t="s">
        <v>1780</v>
      </c>
      <c r="I1" s="5"/>
      <c r="J1" s="6" t="s">
        <v>1776</v>
      </c>
      <c r="K1" s="6" t="s">
        <v>1780</v>
      </c>
    </row>
    <row r="2" customFormat="false" ht="15" hidden="false" customHeight="false" outlineLevel="0" collapsed="false">
      <c r="A2" s="5" t="s">
        <v>795</v>
      </c>
      <c r="B2" s="5" t="n">
        <f aca="false">COUNTIF(Evaluation_Matrix_V4!$C$2:$C$59,A2)</f>
        <v>50</v>
      </c>
      <c r="C2" s="5"/>
      <c r="D2" s="5" t="s">
        <v>20</v>
      </c>
      <c r="E2" s="5" t="n">
        <f aca="false">SUMIFS(Evaluation_Matrix_V4!$E$2:$E$59,Evaluation_Matrix_V4!$D$2:$D$59,1)</f>
        <v>32</v>
      </c>
      <c r="F2" s="5"/>
      <c r="G2" s="5" t="s">
        <v>951</v>
      </c>
      <c r="H2" s="5" t="n">
        <f aca="false">SUMIFS(Evaluation_Matrix_V4!$I$2:$I$59,Evaluation_Matrix_V4!$D$2:$D$59,1)</f>
        <v>6</v>
      </c>
      <c r="I2" s="5"/>
      <c r="J2" s="5" t="s">
        <v>20</v>
      </c>
      <c r="K2" s="5" t="n">
        <f aca="false">COUNTIFS(Evaluation_Matrix_V4!$R$2:$R$59,J2,Evaluation_Matrix_V4!$D$2:$D$59,1)</f>
        <v>29</v>
      </c>
    </row>
    <row r="3" customFormat="false" ht="15" hidden="false" customHeight="false" outlineLevel="0" collapsed="false">
      <c r="A3" s="5" t="s">
        <v>835</v>
      </c>
      <c r="B3" s="5" t="n">
        <f aca="false">COUNTIF(Evaluation_Matrix_V4!$C$2:$C$59,A3)</f>
        <v>5</v>
      </c>
      <c r="C3" s="5"/>
      <c r="D3" s="5" t="s">
        <v>19</v>
      </c>
      <c r="E3" s="5" t="n">
        <f aca="false">SUMIFS(Evaluation_Matrix_V4!$F$2:$F$59,Evaluation_Matrix_V4!$D$2:$D$59,1)</f>
        <v>22</v>
      </c>
      <c r="F3" s="5"/>
      <c r="G3" s="5" t="s">
        <v>988</v>
      </c>
      <c r="H3" s="5" t="n">
        <f aca="false">SUMIFS(Evaluation_Matrix_V4!$J$2:$J$59,Evaluation_Matrix_V4!$D$2:$D$59,1)</f>
        <v>10</v>
      </c>
      <c r="I3" s="5"/>
      <c r="J3" s="5" t="s">
        <v>19</v>
      </c>
      <c r="K3" s="5" t="n">
        <f aca="false">COUNTIFS(Evaluation_Matrix_V4!$R$2:$R$59,J3,Evaluation_Matrix_V4!$D$2:$D$59,1)</f>
        <v>6</v>
      </c>
    </row>
    <row r="4" customFormat="false" ht="15" hidden="false" customHeight="false" outlineLevel="0" collapsed="false">
      <c r="A4" s="5" t="s">
        <v>870</v>
      </c>
      <c r="B4" s="5" t="n">
        <f aca="false">COUNTIF(Evaluation_Matrix_V4!$C$2:$C$59,A4)</f>
        <v>2</v>
      </c>
      <c r="C4" s="5"/>
      <c r="D4" s="5" t="s">
        <v>22</v>
      </c>
      <c r="E4" s="5" t="n">
        <f aca="false">SUMIFS(Evaluation_Matrix_V4!$G$2:$G$59,Evaluation_Matrix_V4!$D$2:$D$59,1)</f>
        <v>15</v>
      </c>
      <c r="F4" s="5"/>
      <c r="G4" s="5" t="s">
        <v>1687</v>
      </c>
      <c r="H4" s="5" t="n">
        <f aca="false">SUMIFS(Evaluation_Matrix_V4!$K$2:$K$59,Evaluation_Matrix_V4!$D$2:$D$59,1)</f>
        <v>2</v>
      </c>
      <c r="I4" s="5"/>
      <c r="J4" s="5" t="s">
        <v>22</v>
      </c>
      <c r="K4" s="5" t="n">
        <f aca="false">COUNTIFS(Evaluation_Matrix_V4!$R$2:$R$59,J4,Evaluation_Matrix_V4!$D$2:$D$59,1)</f>
        <v>15</v>
      </c>
    </row>
    <row r="5" customFormat="false" ht="15" hidden="false" customHeight="false" outlineLevel="0" collapsed="false">
      <c r="A5" s="5" t="s">
        <v>297</v>
      </c>
      <c r="B5" s="5" t="n">
        <f aca="false">COUNTIF(Evaluation_Matrix_V4!$C$2:$C$59,A5)</f>
        <v>1</v>
      </c>
      <c r="C5" s="5"/>
      <c r="D5" s="5" t="s">
        <v>21</v>
      </c>
      <c r="E5" s="5" t="n">
        <f aca="false">SUMIFS(Evaluation_Matrix_V4!$H$2:$H$59,Evaluation_Matrix_V4!$D$2:$D$59,1)</f>
        <v>9</v>
      </c>
      <c r="F5" s="5"/>
      <c r="G5" s="5" t="s">
        <v>1686</v>
      </c>
      <c r="H5" s="5" t="n">
        <f aca="false">SUMIFS(Evaluation_Matrix_V4!$L$2:$L$59,Evaluation_Matrix_V4!$D$2:$D$59,1)</f>
        <v>10</v>
      </c>
      <c r="I5" s="5"/>
      <c r="J5" s="5" t="s">
        <v>21</v>
      </c>
      <c r="K5" s="5" t="n">
        <f aca="false">COUNTIFS(Evaluation_Matrix_V4!$R$2:$R$59,J5,Evaluation_Matrix_V4!$D$2:$D$59,1)</f>
        <v>0</v>
      </c>
    </row>
    <row r="6" customFormat="false" ht="15" hidden="false" customHeight="false" outlineLevel="0" collapsed="false">
      <c r="A6" s="5"/>
      <c r="B6" s="5"/>
      <c r="C6" s="5"/>
      <c r="D6" s="5"/>
      <c r="E6" s="5"/>
      <c r="F6" s="5"/>
      <c r="G6" s="5" t="s">
        <v>1775</v>
      </c>
      <c r="H6" s="5" t="n">
        <f aca="false">SUMIFS(Evaluation_Matrix_V4!$M$2:$M$59,Evaluation_Matrix_V4!$D$2:$D$59,1)</f>
        <v>3</v>
      </c>
      <c r="I6" s="5"/>
      <c r="J6" s="5" t="s">
        <v>1782</v>
      </c>
      <c r="K6" s="5" t="n">
        <f aca="false">COUNTIFS(Evaluation_Matrix_V4!$R$2:$R$59,J6,Evaluation_Matrix_V4!$D$2:$D$59,1)</f>
        <v>0</v>
      </c>
    </row>
    <row r="7" customFormat="false" ht="15" hidden="false" customHeight="false" outlineLevel="0" collapsed="false">
      <c r="A7" s="5"/>
      <c r="B7" s="5"/>
      <c r="C7" s="5"/>
      <c r="D7" s="5"/>
      <c r="E7" s="5"/>
      <c r="F7" s="5"/>
      <c r="G7" s="5" t="s">
        <v>1031</v>
      </c>
      <c r="H7" s="5" t="n">
        <f aca="false">SUMIFS(Evaluation_Matrix_V4!$N$2:$N$59,Evaluation_Matrix_V4!$D$2:$D$59,1)</f>
        <v>15</v>
      </c>
      <c r="I7" s="5"/>
      <c r="J7" s="5"/>
      <c r="K7" s="5"/>
    </row>
    <row r="8" customFormat="false" ht="15" hidden="false" customHeight="false" outlineLevel="0" collapsed="false">
      <c r="A8" s="5"/>
      <c r="B8" s="5"/>
      <c r="C8" s="5"/>
      <c r="D8" s="5"/>
      <c r="E8" s="5"/>
      <c r="F8" s="5"/>
      <c r="G8" s="5" t="s">
        <v>1032</v>
      </c>
      <c r="H8" s="5" t="n">
        <f aca="false">SUMIFS(Evaluation_Matrix_V4!$O$2:$O$59,Evaluation_Matrix_V4!$D$2:$D$59,1)</f>
        <v>10</v>
      </c>
      <c r="I8" s="5"/>
      <c r="J8" s="5"/>
      <c r="K8" s="5"/>
    </row>
    <row r="9" customFormat="false" ht="15" hidden="false" customHeight="false" outlineLevel="0" collapsed="false">
      <c r="A9" s="5"/>
      <c r="B9" s="5"/>
      <c r="C9" s="5"/>
      <c r="D9" s="5"/>
      <c r="E9" s="5"/>
      <c r="F9" s="5"/>
      <c r="G9" s="5" t="s">
        <v>1033</v>
      </c>
      <c r="H9" s="5" t="n">
        <f aca="false">SUMIFS(Evaluation_Matrix_V4!$P$2:$P$59,Evaluation_Matrix_V4!$D$2:$D$59,1)</f>
        <v>5</v>
      </c>
      <c r="I9" s="5"/>
      <c r="J9" s="5"/>
      <c r="K9" s="5"/>
    </row>
    <row r="10" customFormat="false" ht="15" hidden="false" customHeight="false" outlineLevel="0" collapsed="false">
      <c r="A10" s="5"/>
      <c r="B10" s="5"/>
      <c r="C10" s="5"/>
      <c r="D10" s="5"/>
      <c r="E10" s="5"/>
      <c r="F10" s="5"/>
      <c r="G10" s="5" t="s">
        <v>1688</v>
      </c>
      <c r="H10" s="5" t="n">
        <f aca="false">SUMIFS(Evaluation_Matrix_V4!$Q$2:$Q$59,Evaluation_Matrix_V4!$D$2:$D$59,1)</f>
        <v>3</v>
      </c>
      <c r="I10" s="5"/>
      <c r="J10" s="5"/>
      <c r="K10" s="5"/>
    </row>
    <row r="11" customFormat="false" ht="15" hidden="false" customHeight="false" outlineLevel="0" collapsed="false">
      <c r="A11" s="5"/>
      <c r="B11" s="5"/>
      <c r="C11" s="5"/>
      <c r="D11" s="5"/>
      <c r="E11" s="5"/>
      <c r="F11" s="5"/>
      <c r="G11" s="5"/>
      <c r="H11" s="5"/>
      <c r="I11" s="5"/>
      <c r="J11" s="5"/>
      <c r="K11" s="5"/>
    </row>
    <row r="12" customFormat="false" ht="15" hidden="false" customHeight="false" outlineLevel="0" collapsed="false">
      <c r="A12" s="5"/>
      <c r="B12" s="5"/>
      <c r="C12" s="5"/>
      <c r="D12" s="5"/>
      <c r="E12" s="5"/>
      <c r="F12" s="5"/>
      <c r="G12" s="5"/>
      <c r="H12" s="5"/>
      <c r="I12" s="5"/>
      <c r="J12" s="5"/>
      <c r="K12"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5" min="1" style="1" width="26"/>
  </cols>
  <sheetData>
    <row r="1" customFormat="false" ht="15" hidden="false" customHeight="true" outlineLevel="0" collapsed="false">
      <c r="A1" s="16" t="s">
        <v>1783</v>
      </c>
      <c r="B1" s="16"/>
      <c r="C1" s="16"/>
      <c r="D1" s="16"/>
      <c r="E1" s="16"/>
      <c r="F1" s="16"/>
      <c r="G1" s="16"/>
      <c r="H1" s="16"/>
    </row>
    <row r="2" customFormat="false" ht="15" hidden="false" customHeight="false" outlineLevel="0" collapsed="false">
      <c r="A2" s="16"/>
      <c r="B2" s="16"/>
      <c r="C2" s="16"/>
      <c r="D2" s="16"/>
      <c r="E2" s="16"/>
      <c r="F2" s="16"/>
      <c r="G2" s="16"/>
      <c r="H2" s="16"/>
    </row>
    <row r="3" customFormat="false" ht="15" hidden="false" customHeight="false" outlineLevel="0" collapsed="false">
      <c r="A3" s="5"/>
      <c r="B3" s="5"/>
      <c r="C3" s="5"/>
      <c r="D3" s="5"/>
      <c r="E3" s="5"/>
    </row>
    <row r="4" customFormat="false" ht="23.85" hidden="false" customHeight="false" outlineLevel="0" collapsed="false">
      <c r="A4" s="6" t="s">
        <v>1784</v>
      </c>
      <c r="B4" s="6" t="s">
        <v>1785</v>
      </c>
      <c r="C4" s="5"/>
      <c r="D4" s="6" t="s">
        <v>1786</v>
      </c>
      <c r="E4" s="6" t="s">
        <v>1787</v>
      </c>
    </row>
    <row r="5" customFormat="false" ht="15" hidden="false" customHeight="false" outlineLevel="0" collapsed="false">
      <c r="A5" s="5" t="str">
        <f aca="false">Figures_Data_V4!A2</f>
        <v>Include</v>
      </c>
      <c r="B5" s="17" t="n">
        <f aca="false">Figures_Data_V4!B2</f>
        <v>50</v>
      </c>
      <c r="C5" s="17"/>
      <c r="D5" s="17" t="str">
        <f aca="false">Figures_Data_V4!D2</f>
        <v>Simulation</v>
      </c>
      <c r="E5" s="5" t="n">
        <f aca="false">Figures_Data_V4!E2</f>
        <v>32</v>
      </c>
    </row>
    <row r="6" customFormat="false" ht="15" hidden="false" customHeight="false" outlineLevel="0" collapsed="false">
      <c r="A6" s="5" t="str">
        <f aca="false">Figures_Data_V4!A3</f>
        <v>Contextual</v>
      </c>
      <c r="B6" s="17" t="n">
        <f aca="false">Figures_Data_V4!B3</f>
        <v>5</v>
      </c>
      <c r="C6" s="17"/>
      <c r="D6" s="17" t="str">
        <f aca="false">Figures_Data_V4!D3</f>
        <v>Analytical/Modeling</v>
      </c>
      <c r="E6" s="5" t="n">
        <f aca="false">Figures_Data_V4!E3</f>
        <v>22</v>
      </c>
    </row>
    <row r="7" customFormat="false" ht="15" hidden="false" customHeight="false" outlineLevel="0" collapsed="false">
      <c r="A7" s="5" t="str">
        <f aca="false">Figures_Data_V4!A4</f>
        <v>Exclude</v>
      </c>
      <c r="B7" s="17" t="n">
        <f aca="false">Figures_Data_V4!B4</f>
        <v>2</v>
      </c>
      <c r="C7" s="17"/>
      <c r="D7" s="17" t="str">
        <f aca="false">Figures_Data_V4!D4</f>
        <v>Experimental/Testbed</v>
      </c>
      <c r="E7" s="5" t="n">
        <f aca="false">Figures_Data_V4!E4</f>
        <v>15</v>
      </c>
    </row>
    <row r="8" customFormat="false" ht="15" hidden="false" customHeight="false" outlineLevel="0" collapsed="false">
      <c r="A8" s="5" t="str">
        <f aca="false">Figures_Data_V4!A5</f>
        <v>Duplicate</v>
      </c>
      <c r="B8" s="17" t="n">
        <f aca="false">Figures_Data_V4!B5</f>
        <v>1</v>
      </c>
      <c r="C8" s="17"/>
      <c r="D8" s="17" t="str">
        <f aca="false">Figures_Data_V4!D5</f>
        <v>Survey/Overview</v>
      </c>
      <c r="E8" s="5" t="n">
        <f aca="false">Figures_Data_V4!E5</f>
        <v>9</v>
      </c>
    </row>
    <row r="9" customFormat="false" ht="15" hidden="false" customHeight="false" outlineLevel="0" collapsed="false">
      <c r="A9" s="5"/>
      <c r="B9" s="17"/>
      <c r="C9" s="17"/>
      <c r="D9" s="17"/>
      <c r="E9" s="5"/>
    </row>
    <row r="10" customFormat="false" ht="15" hidden="false" customHeight="false" outlineLevel="0" collapsed="false">
      <c r="A10" s="5"/>
      <c r="B10" s="17"/>
      <c r="C10" s="17"/>
      <c r="D10" s="17"/>
      <c r="E10" s="5"/>
    </row>
    <row r="11" customFormat="false" ht="15" hidden="false" customHeight="false" outlineLevel="0" collapsed="false">
      <c r="A11" s="6" t="s">
        <v>1788</v>
      </c>
      <c r="B11" s="18" t="s">
        <v>1787</v>
      </c>
      <c r="C11" s="17"/>
      <c r="D11" s="18" t="s">
        <v>1789</v>
      </c>
      <c r="E11" s="6" t="s">
        <v>1787</v>
      </c>
    </row>
    <row r="12" customFormat="false" ht="15" hidden="false" customHeight="false" outlineLevel="0" collapsed="false">
      <c r="A12" s="5" t="str">
        <f aca="false">Figures_Data_V4!G2</f>
        <v>Link-Level Simulation</v>
      </c>
      <c r="B12" s="17" t="n">
        <f aca="false">Figures_Data_V4!H2</f>
        <v>6</v>
      </c>
      <c r="C12" s="17"/>
      <c r="D12" s="17" t="str">
        <f aca="false">Figures_Data_V4!J2</f>
        <v>Simulation</v>
      </c>
      <c r="E12" s="5" t="n">
        <f aca="false">Figures_Data_V4!K2</f>
        <v>29</v>
      </c>
    </row>
    <row r="13" customFormat="false" ht="15" hidden="false" customHeight="false" outlineLevel="0" collapsed="false">
      <c r="A13" s="5" t="str">
        <f aca="false">Figures_Data_V4!G3</f>
        <v>System-Level Simulation</v>
      </c>
      <c r="B13" s="17" t="n">
        <f aca="false">Figures_Data_V4!H3</f>
        <v>10</v>
      </c>
      <c r="C13" s="17"/>
      <c r="D13" s="17" t="str">
        <f aca="false">Figures_Data_V4!J3</f>
        <v>Analytical/Modeling</v>
      </c>
      <c r="E13" s="5" t="n">
        <f aca="false">Figures_Data_V4!K3</f>
        <v>6</v>
      </c>
    </row>
    <row r="14" customFormat="false" ht="15" hidden="false" customHeight="false" outlineLevel="0" collapsed="false">
      <c r="A14" s="5" t="str">
        <f aca="false">Figures_Data_V4!G4</f>
        <v>Event-Based Simulation</v>
      </c>
      <c r="B14" s="17" t="n">
        <f aca="false">Figures_Data_V4!H4</f>
        <v>2</v>
      </c>
      <c r="C14" s="17"/>
      <c r="D14" s="17" t="str">
        <f aca="false">Figures_Data_V4!J4</f>
        <v>Experimental/Testbed</v>
      </c>
      <c r="E14" s="5" t="n">
        <f aca="false">Figures_Data_V4!K4</f>
        <v>15</v>
      </c>
    </row>
    <row r="15" customFormat="false" ht="15" hidden="false" customHeight="false" outlineLevel="0" collapsed="false">
      <c r="A15" s="5" t="str">
        <f aca="false">Figures_Data_V4!G5</f>
        <v>Numerical Simulation</v>
      </c>
      <c r="B15" s="17" t="n">
        <f aca="false">Figures_Data_V4!H5</f>
        <v>10</v>
      </c>
      <c r="C15" s="17"/>
      <c r="D15" s="17" t="str">
        <f aca="false">Figures_Data_V4!J5</f>
        <v>Survey/Overview</v>
      </c>
      <c r="E15" s="5" t="n">
        <f aca="false">Figures_Data_V4!K5</f>
        <v>0</v>
      </c>
    </row>
    <row r="16" customFormat="false" ht="15" hidden="false" customHeight="false" outlineLevel="0" collapsed="false">
      <c r="A16" s="5" t="str">
        <f aca="false">Figures_Data_V4!G6</f>
        <v>SDR/Over-the-Air</v>
      </c>
      <c r="B16" s="17" t="n">
        <f aca="false">Figures_Data_V4!H6</f>
        <v>3</v>
      </c>
      <c r="C16" s="17"/>
      <c r="D16" s="17" t="str">
        <f aca="false">Figures_Data_V4!J6</f>
        <v>Other/Unclear</v>
      </c>
      <c r="E16" s="5" t="n">
        <f aca="false">Figures_Data_V4!K6</f>
        <v>0</v>
      </c>
    </row>
    <row r="17" customFormat="false" ht="15" hidden="false" customHeight="false" outlineLevel="0" collapsed="false">
      <c r="A17" s="5" t="str">
        <f aca="false">Figures_Data_V4!G7</f>
        <v>Hardware Prototype</v>
      </c>
      <c r="B17" s="17" t="n">
        <f aca="false">Figures_Data_V4!H7</f>
        <v>15</v>
      </c>
      <c r="C17" s="17"/>
      <c r="D17" s="17"/>
      <c r="E17" s="5"/>
    </row>
    <row r="18" customFormat="false" ht="15" hidden="false" customHeight="false" outlineLevel="0" collapsed="false">
      <c r="A18" s="5" t="str">
        <f aca="false">Figures_Data_V4!G8</f>
        <v>Commercial Device</v>
      </c>
      <c r="B18" s="17" t="n">
        <f aca="false">Figures_Data_V4!H8</f>
        <v>10</v>
      </c>
      <c r="C18" s="17"/>
      <c r="D18" s="17"/>
      <c r="E18" s="5"/>
    </row>
    <row r="19" customFormat="false" ht="15" hidden="false" customHeight="false" outlineLevel="0" collapsed="false">
      <c r="A19" s="5" t="str">
        <f aca="false">Figures_Data_V4!G9</f>
        <v>Field Trial</v>
      </c>
      <c r="B19" s="17" t="n">
        <f aca="false">Figures_Data_V4!H9</f>
        <v>5</v>
      </c>
      <c r="C19" s="17"/>
      <c r="D19" s="17"/>
      <c r="E19" s="5"/>
    </row>
    <row r="20" customFormat="false" ht="15" hidden="false" customHeight="false" outlineLevel="0" collapsed="false">
      <c r="A20" s="5" t="str">
        <f aca="false">Figures_Data_V4!G10</f>
        <v>Industrial Measurement</v>
      </c>
      <c r="B20" s="17" t="n">
        <f aca="false">Figures_Data_V4!H10</f>
        <v>3</v>
      </c>
      <c r="C20" s="17"/>
      <c r="D20" s="17"/>
      <c r="E20" s="5"/>
    </row>
    <row r="21" customFormat="false" ht="15" hidden="false" customHeight="false" outlineLevel="0" collapsed="false">
      <c r="A21" s="5"/>
      <c r="B21" s="5"/>
      <c r="C21" s="5"/>
      <c r="D21" s="5"/>
      <c r="E21" s="5"/>
    </row>
    <row r="22" customFormat="false" ht="15" hidden="false" customHeight="false" outlineLevel="0" collapsed="false">
      <c r="A22" s="5"/>
      <c r="B22" s="5"/>
      <c r="C22" s="5"/>
      <c r="D22" s="5"/>
      <c r="E22" s="5"/>
    </row>
    <row r="23" customFormat="false" ht="15" hidden="false" customHeight="false" outlineLevel="0" collapsed="false">
      <c r="A23" s="5"/>
      <c r="B23" s="5"/>
      <c r="C23" s="5"/>
      <c r="D23" s="5"/>
      <c r="E23" s="5"/>
    </row>
    <row r="24" customFormat="false" ht="15" hidden="false" customHeight="false" outlineLevel="0" collapsed="false">
      <c r="A24" s="5"/>
      <c r="B24" s="5"/>
      <c r="C24" s="5"/>
      <c r="D24" s="5"/>
      <c r="E24" s="5"/>
    </row>
    <row r="25" customFormat="false" ht="15" hidden="false" customHeight="false" outlineLevel="0" collapsed="false">
      <c r="A25" s="5"/>
      <c r="B25" s="5"/>
      <c r="C25" s="5"/>
      <c r="D25" s="5"/>
      <c r="E25" s="5"/>
    </row>
  </sheetData>
  <mergeCells count="1">
    <mergeCell ref="A1: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14"/>
    <col collapsed="false" customWidth="true" hidden="false" outlineLevel="0" max="4" min="4" style="1" width="28"/>
    <col collapsed="false" customWidth="true" hidden="false" outlineLevel="0" max="20" min="5" style="1" width="15"/>
  </cols>
  <sheetData>
    <row r="1" customFormat="false" ht="36" hidden="false" customHeight="true" outlineLevel="0" collapsed="false">
      <c r="A1" s="6" t="s">
        <v>805</v>
      </c>
      <c r="B1" s="6" t="s">
        <v>1012</v>
      </c>
      <c r="C1" s="6" t="s">
        <v>1724</v>
      </c>
      <c r="D1" s="6" t="s">
        <v>810</v>
      </c>
      <c r="E1" s="6" t="s">
        <v>10</v>
      </c>
      <c r="F1" s="6" t="s">
        <v>12</v>
      </c>
      <c r="G1" s="6" t="s">
        <v>11</v>
      </c>
      <c r="H1" s="6" t="s">
        <v>17</v>
      </c>
      <c r="I1" s="6" t="s">
        <v>15</v>
      </c>
      <c r="J1" s="6" t="s">
        <v>16</v>
      </c>
      <c r="K1" s="6" t="s">
        <v>1023</v>
      </c>
      <c r="L1" s="6" t="s">
        <v>1681</v>
      </c>
      <c r="M1" s="6" t="s">
        <v>1025</v>
      </c>
      <c r="N1" s="6" t="s">
        <v>836</v>
      </c>
      <c r="O1" s="6" t="s">
        <v>1790</v>
      </c>
      <c r="P1" s="6" t="s">
        <v>1020</v>
      </c>
      <c r="Q1" s="6" t="s">
        <v>1021</v>
      </c>
      <c r="R1" s="6" t="s">
        <v>1684</v>
      </c>
      <c r="S1" s="6" t="s">
        <v>1791</v>
      </c>
      <c r="T1" s="6" t="s">
        <v>1792</v>
      </c>
    </row>
    <row r="2" customFormat="false" ht="23.85" hidden="false" customHeight="false" outlineLevel="0" collapsed="false">
      <c r="A2" s="5" t="n">
        <v>1</v>
      </c>
      <c r="B2" s="5" t="s">
        <v>819</v>
      </c>
      <c r="C2" s="5" t="s">
        <v>795</v>
      </c>
      <c r="D2" s="5" t="s">
        <v>822</v>
      </c>
      <c r="E2" s="5" t="n">
        <v>0</v>
      </c>
      <c r="F2" s="5" t="n">
        <v>1</v>
      </c>
      <c r="G2" s="5" t="n">
        <v>1</v>
      </c>
      <c r="H2" s="5" t="n">
        <v>0</v>
      </c>
      <c r="I2" s="5" t="n">
        <v>0</v>
      </c>
      <c r="J2" s="5" t="n">
        <v>0</v>
      </c>
      <c r="K2" s="5" t="n">
        <v>0</v>
      </c>
      <c r="L2" s="5" t="n">
        <v>0</v>
      </c>
      <c r="M2" s="5" t="n">
        <v>0</v>
      </c>
      <c r="N2" s="5" t="n">
        <v>0</v>
      </c>
      <c r="O2" s="5" t="n">
        <v>0</v>
      </c>
      <c r="P2" s="5" t="n">
        <v>1</v>
      </c>
      <c r="Q2" s="5" t="n">
        <v>0</v>
      </c>
      <c r="R2" s="5" t="n">
        <v>0</v>
      </c>
      <c r="S2" s="5" t="n">
        <v>0</v>
      </c>
      <c r="T2" s="5" t="n">
        <v>0</v>
      </c>
    </row>
    <row r="3" customFormat="false" ht="23.85" hidden="false" customHeight="false" outlineLevel="0" collapsed="false">
      <c r="A3" s="5" t="n">
        <v>2</v>
      </c>
      <c r="B3" s="5" t="s">
        <v>824</v>
      </c>
      <c r="C3" s="5" t="s">
        <v>795</v>
      </c>
      <c r="D3" s="5" t="s">
        <v>822</v>
      </c>
      <c r="E3" s="5" t="n">
        <v>0</v>
      </c>
      <c r="F3" s="5" t="n">
        <v>1</v>
      </c>
      <c r="G3" s="5" t="n">
        <v>1</v>
      </c>
      <c r="H3" s="5" t="n">
        <v>0</v>
      </c>
      <c r="I3" s="5" t="n">
        <v>0</v>
      </c>
      <c r="J3" s="5" t="n">
        <v>0</v>
      </c>
      <c r="K3" s="5" t="n">
        <v>0</v>
      </c>
      <c r="L3" s="5" t="n">
        <v>0</v>
      </c>
      <c r="M3" s="5" t="n">
        <v>0</v>
      </c>
      <c r="N3" s="5" t="n">
        <v>0</v>
      </c>
      <c r="O3" s="5" t="n">
        <v>0</v>
      </c>
      <c r="P3" s="5" t="n">
        <v>1</v>
      </c>
      <c r="Q3" s="5" t="n">
        <v>0</v>
      </c>
      <c r="R3" s="5" t="n">
        <v>0</v>
      </c>
      <c r="S3" s="5" t="n">
        <v>0</v>
      </c>
      <c r="T3" s="5" t="n">
        <v>0</v>
      </c>
    </row>
    <row r="4" customFormat="false" ht="23.85" hidden="false" customHeight="false" outlineLevel="0" collapsed="false">
      <c r="A4" s="5" t="n">
        <v>3</v>
      </c>
      <c r="B4" s="5" t="s">
        <v>828</v>
      </c>
      <c r="C4" s="5" t="s">
        <v>795</v>
      </c>
      <c r="D4" s="5" t="s">
        <v>829</v>
      </c>
      <c r="E4" s="5" t="n">
        <v>0</v>
      </c>
      <c r="F4" s="5" t="n">
        <v>0</v>
      </c>
      <c r="G4" s="5" t="n">
        <v>1</v>
      </c>
      <c r="H4" s="5" t="n">
        <v>0</v>
      </c>
      <c r="I4" s="5" t="n">
        <v>0</v>
      </c>
      <c r="J4" s="5" t="n">
        <v>0</v>
      </c>
      <c r="K4" s="5" t="n">
        <v>0</v>
      </c>
      <c r="L4" s="5" t="n">
        <v>0</v>
      </c>
      <c r="M4" s="5" t="n">
        <v>0</v>
      </c>
      <c r="N4" s="5" t="n">
        <v>0</v>
      </c>
      <c r="O4" s="5" t="n">
        <v>0</v>
      </c>
      <c r="P4" s="5" t="n">
        <v>0</v>
      </c>
      <c r="Q4" s="5" t="n">
        <v>0</v>
      </c>
      <c r="R4" s="5" t="n">
        <v>0</v>
      </c>
      <c r="S4" s="5" t="n">
        <v>0</v>
      </c>
      <c r="T4" s="5" t="n">
        <v>0</v>
      </c>
    </row>
    <row r="5" customFormat="false" ht="23.85" hidden="false" customHeight="false" outlineLevel="0" collapsed="false">
      <c r="A5" s="5" t="n">
        <v>4</v>
      </c>
      <c r="B5" s="5" t="s">
        <v>58</v>
      </c>
      <c r="C5" s="5" t="s">
        <v>795</v>
      </c>
      <c r="D5" s="5" t="s">
        <v>831</v>
      </c>
      <c r="E5" s="5" t="n">
        <v>0</v>
      </c>
      <c r="F5" s="5" t="n">
        <v>1</v>
      </c>
      <c r="G5" s="5" t="n">
        <v>1</v>
      </c>
      <c r="H5" s="5" t="n">
        <v>0</v>
      </c>
      <c r="I5" s="5" t="n">
        <v>0</v>
      </c>
      <c r="J5" s="5" t="n">
        <v>0</v>
      </c>
      <c r="K5" s="5" t="n">
        <v>0</v>
      </c>
      <c r="L5" s="5" t="n">
        <v>0</v>
      </c>
      <c r="M5" s="5" t="n">
        <v>0</v>
      </c>
      <c r="N5" s="5" t="n">
        <v>0</v>
      </c>
      <c r="O5" s="5" t="n">
        <v>0</v>
      </c>
      <c r="P5" s="5" t="n">
        <v>1</v>
      </c>
      <c r="Q5" s="5" t="n">
        <v>0</v>
      </c>
      <c r="R5" s="5" t="n">
        <v>0</v>
      </c>
      <c r="S5" s="5" t="n">
        <v>0</v>
      </c>
      <c r="T5" s="5" t="n">
        <v>0</v>
      </c>
    </row>
    <row r="6" customFormat="false" ht="23.85" hidden="false" customHeight="false" outlineLevel="0" collapsed="false">
      <c r="A6" s="5" t="n">
        <v>5</v>
      </c>
      <c r="B6" s="5" t="s">
        <v>62</v>
      </c>
      <c r="C6" s="5" t="s">
        <v>835</v>
      </c>
      <c r="D6" s="5" t="s">
        <v>836</v>
      </c>
      <c r="E6" s="5" t="n">
        <v>1</v>
      </c>
      <c r="F6" s="5" t="n">
        <v>1</v>
      </c>
      <c r="G6" s="5" t="n">
        <v>1</v>
      </c>
      <c r="H6" s="5" t="n">
        <v>0</v>
      </c>
      <c r="I6" s="5" t="n">
        <v>0</v>
      </c>
      <c r="J6" s="5" t="n">
        <v>0</v>
      </c>
      <c r="K6" s="5" t="n">
        <v>0</v>
      </c>
      <c r="L6" s="5" t="n">
        <v>0</v>
      </c>
      <c r="M6" s="5" t="n">
        <v>0</v>
      </c>
      <c r="N6" s="5" t="n">
        <v>1</v>
      </c>
      <c r="O6" s="5" t="n">
        <v>1</v>
      </c>
      <c r="P6" s="5" t="n">
        <v>0</v>
      </c>
      <c r="Q6" s="5" t="n">
        <v>0</v>
      </c>
      <c r="R6" s="5" t="n">
        <v>0</v>
      </c>
      <c r="S6" s="5" t="n">
        <v>0</v>
      </c>
      <c r="T6" s="5" t="n">
        <v>0</v>
      </c>
    </row>
    <row r="7" customFormat="false" ht="23.85" hidden="false" customHeight="false" outlineLevel="0" collapsed="false">
      <c r="A7" s="5" t="n">
        <v>6</v>
      </c>
      <c r="B7" s="5" t="s">
        <v>839</v>
      </c>
      <c r="C7" s="5" t="s">
        <v>835</v>
      </c>
      <c r="D7" s="5" t="s">
        <v>17</v>
      </c>
      <c r="E7" s="5" t="n">
        <v>1</v>
      </c>
      <c r="F7" s="5" t="n">
        <v>1</v>
      </c>
      <c r="G7" s="5" t="n">
        <v>1</v>
      </c>
      <c r="H7" s="5" t="n">
        <v>1</v>
      </c>
      <c r="I7" s="5" t="n">
        <v>0</v>
      </c>
      <c r="J7" s="5" t="n">
        <v>0</v>
      </c>
      <c r="K7" s="5" t="n">
        <v>0</v>
      </c>
      <c r="L7" s="5" t="n">
        <v>0</v>
      </c>
      <c r="M7" s="5" t="n">
        <v>0</v>
      </c>
      <c r="N7" s="5" t="n">
        <v>0</v>
      </c>
      <c r="O7" s="5" t="n">
        <v>1</v>
      </c>
      <c r="P7" s="5" t="n">
        <v>0</v>
      </c>
      <c r="Q7" s="5" t="n">
        <v>0</v>
      </c>
      <c r="R7" s="5" t="n">
        <v>0</v>
      </c>
      <c r="S7" s="5" t="n">
        <v>0</v>
      </c>
      <c r="T7" s="5" t="n">
        <v>0</v>
      </c>
    </row>
    <row r="8" customFormat="false" ht="23.85" hidden="false" customHeight="false" outlineLevel="0" collapsed="false">
      <c r="A8" s="5" t="n">
        <v>7</v>
      </c>
      <c r="B8" s="5" t="s">
        <v>842</v>
      </c>
      <c r="C8" s="5" t="s">
        <v>795</v>
      </c>
      <c r="D8" s="5" t="s">
        <v>844</v>
      </c>
      <c r="E8" s="5" t="n">
        <v>1</v>
      </c>
      <c r="F8" s="5" t="n">
        <v>0</v>
      </c>
      <c r="G8" s="5" t="n">
        <v>0</v>
      </c>
      <c r="H8" s="5" t="n">
        <v>0</v>
      </c>
      <c r="I8" s="5" t="n">
        <v>0</v>
      </c>
      <c r="J8" s="5" t="n">
        <v>0</v>
      </c>
      <c r="K8" s="5" t="n">
        <v>1</v>
      </c>
      <c r="L8" s="5" t="n">
        <v>0</v>
      </c>
      <c r="M8" s="5" t="n">
        <v>0</v>
      </c>
      <c r="N8" s="5" t="n">
        <v>0</v>
      </c>
      <c r="O8" s="5" t="n">
        <v>1</v>
      </c>
      <c r="P8" s="5" t="n">
        <v>0</v>
      </c>
      <c r="Q8" s="5" t="n">
        <v>0</v>
      </c>
      <c r="R8" s="5" t="n">
        <v>0</v>
      </c>
      <c r="S8" s="5" t="n">
        <v>0</v>
      </c>
      <c r="T8" s="5" t="n">
        <v>0</v>
      </c>
    </row>
    <row r="9" customFormat="false" ht="23.85" hidden="false" customHeight="false" outlineLevel="0" collapsed="false">
      <c r="A9" s="5" t="n">
        <v>8</v>
      </c>
      <c r="B9" s="5" t="s">
        <v>847</v>
      </c>
      <c r="C9" s="5" t="s">
        <v>795</v>
      </c>
      <c r="D9" s="5" t="s">
        <v>849</v>
      </c>
      <c r="E9" s="5" t="n">
        <v>0</v>
      </c>
      <c r="F9" s="5" t="n">
        <v>1</v>
      </c>
      <c r="G9" s="5" t="n">
        <v>0</v>
      </c>
      <c r="H9" s="5" t="n">
        <v>1</v>
      </c>
      <c r="I9" s="5" t="n">
        <v>0</v>
      </c>
      <c r="J9" s="5" t="n">
        <v>0</v>
      </c>
      <c r="K9" s="5" t="n">
        <v>0</v>
      </c>
      <c r="L9" s="5" t="n">
        <v>0</v>
      </c>
      <c r="M9" s="5" t="n">
        <v>0</v>
      </c>
      <c r="N9" s="5" t="n">
        <v>0</v>
      </c>
      <c r="O9" s="5" t="n">
        <v>1</v>
      </c>
      <c r="P9" s="5" t="n">
        <v>0</v>
      </c>
      <c r="Q9" s="5" t="n">
        <v>0</v>
      </c>
      <c r="R9" s="5" t="n">
        <v>0</v>
      </c>
      <c r="S9" s="5" t="n">
        <v>0</v>
      </c>
      <c r="T9" s="5" t="n">
        <v>0</v>
      </c>
    </row>
    <row r="10" customFormat="false" ht="23.85" hidden="false" customHeight="false" outlineLevel="0" collapsed="false">
      <c r="A10" s="5" t="n">
        <v>9</v>
      </c>
      <c r="B10" s="5" t="s">
        <v>852</v>
      </c>
      <c r="C10" s="5" t="s">
        <v>795</v>
      </c>
      <c r="D10" s="5" t="s">
        <v>11</v>
      </c>
      <c r="E10" s="5" t="n">
        <v>1</v>
      </c>
      <c r="F10" s="5" t="n">
        <v>1</v>
      </c>
      <c r="G10" s="5" t="n">
        <v>1</v>
      </c>
      <c r="H10" s="5" t="n">
        <v>0</v>
      </c>
      <c r="I10" s="5" t="n">
        <v>0</v>
      </c>
      <c r="J10" s="5" t="n">
        <v>0</v>
      </c>
      <c r="K10" s="5" t="n">
        <v>0</v>
      </c>
      <c r="L10" s="5" t="n">
        <v>0</v>
      </c>
      <c r="M10" s="5" t="n">
        <v>0</v>
      </c>
      <c r="N10" s="5" t="n">
        <v>0</v>
      </c>
      <c r="O10" s="5" t="n">
        <v>1</v>
      </c>
      <c r="P10" s="5" t="n">
        <v>0</v>
      </c>
      <c r="Q10" s="5" t="n">
        <v>0</v>
      </c>
      <c r="R10" s="5" t="n">
        <v>0</v>
      </c>
      <c r="S10" s="5" t="n">
        <v>0</v>
      </c>
      <c r="T10" s="5" t="n">
        <v>0</v>
      </c>
    </row>
    <row r="11" customFormat="false" ht="23.85" hidden="false" customHeight="false" outlineLevel="0" collapsed="false">
      <c r="A11" s="5" t="n">
        <v>10</v>
      </c>
      <c r="B11" s="5" t="s">
        <v>852</v>
      </c>
      <c r="C11" s="5" t="s">
        <v>297</v>
      </c>
      <c r="D11" s="5" t="s">
        <v>11</v>
      </c>
      <c r="E11" s="5" t="n">
        <v>1</v>
      </c>
      <c r="F11" s="5" t="n">
        <v>1</v>
      </c>
      <c r="G11" s="5" t="n">
        <v>1</v>
      </c>
      <c r="H11" s="5" t="n">
        <v>0</v>
      </c>
      <c r="I11" s="5" t="n">
        <v>0</v>
      </c>
      <c r="J11" s="5" t="n">
        <v>0</v>
      </c>
      <c r="K11" s="5" t="n">
        <v>0</v>
      </c>
      <c r="L11" s="5" t="n">
        <v>0</v>
      </c>
      <c r="M11" s="5" t="n">
        <v>0</v>
      </c>
      <c r="N11" s="5" t="n">
        <v>0</v>
      </c>
      <c r="O11" s="5" t="n">
        <v>1</v>
      </c>
      <c r="P11" s="5" t="n">
        <v>0</v>
      </c>
      <c r="Q11" s="5" t="n">
        <v>0</v>
      </c>
      <c r="R11" s="5" t="n">
        <v>0</v>
      </c>
      <c r="S11" s="5" t="n">
        <v>0</v>
      </c>
      <c r="T11" s="5" t="n">
        <v>0</v>
      </c>
    </row>
    <row r="12" customFormat="false" ht="23.85" hidden="false" customHeight="false" outlineLevel="0" collapsed="false">
      <c r="A12" s="5" t="n">
        <v>11</v>
      </c>
      <c r="B12" s="5" t="s">
        <v>854</v>
      </c>
      <c r="C12" s="5" t="s">
        <v>795</v>
      </c>
      <c r="D12" s="5" t="s">
        <v>855</v>
      </c>
      <c r="E12" s="5" t="n">
        <v>0</v>
      </c>
      <c r="F12" s="5" t="n">
        <v>0</v>
      </c>
      <c r="G12" s="5" t="n">
        <v>0</v>
      </c>
      <c r="H12" s="5" t="n">
        <v>0</v>
      </c>
      <c r="I12" s="5" t="n">
        <v>0</v>
      </c>
      <c r="J12" s="5" t="n">
        <v>1</v>
      </c>
      <c r="K12" s="5" t="n">
        <v>0</v>
      </c>
      <c r="L12" s="5" t="n">
        <v>0</v>
      </c>
      <c r="M12" s="5" t="n">
        <v>0</v>
      </c>
      <c r="N12" s="5" t="n">
        <v>0</v>
      </c>
      <c r="O12" s="5" t="n">
        <v>0</v>
      </c>
      <c r="P12" s="5" t="n">
        <v>0</v>
      </c>
      <c r="Q12" s="5" t="n">
        <v>0</v>
      </c>
      <c r="R12" s="5" t="n">
        <v>0</v>
      </c>
      <c r="S12" s="5" t="n">
        <v>0</v>
      </c>
      <c r="T12" s="5" t="n">
        <v>0</v>
      </c>
    </row>
    <row r="13" customFormat="false" ht="23.85" hidden="false" customHeight="false" outlineLevel="0" collapsed="false">
      <c r="A13" s="5" t="n">
        <v>12</v>
      </c>
      <c r="B13" s="5" t="s">
        <v>857</v>
      </c>
      <c r="C13" s="5" t="s">
        <v>795</v>
      </c>
      <c r="D13" s="5" t="s">
        <v>855</v>
      </c>
      <c r="E13" s="5" t="n">
        <v>0</v>
      </c>
      <c r="F13" s="5" t="n">
        <v>0</v>
      </c>
      <c r="G13" s="5" t="n">
        <v>1</v>
      </c>
      <c r="H13" s="5" t="n">
        <v>0</v>
      </c>
      <c r="I13" s="5" t="n">
        <v>0</v>
      </c>
      <c r="J13" s="5" t="n">
        <v>1</v>
      </c>
      <c r="K13" s="5" t="n">
        <v>0</v>
      </c>
      <c r="L13" s="5" t="n">
        <v>0</v>
      </c>
      <c r="M13" s="5" t="n">
        <v>0</v>
      </c>
      <c r="N13" s="5" t="n">
        <v>0</v>
      </c>
      <c r="O13" s="5" t="n">
        <v>0</v>
      </c>
      <c r="P13" s="5" t="n">
        <v>0</v>
      </c>
      <c r="Q13" s="5" t="n">
        <v>0</v>
      </c>
      <c r="R13" s="5" t="n">
        <v>0</v>
      </c>
      <c r="S13" s="5" t="n">
        <v>0</v>
      </c>
      <c r="T13" s="5" t="n">
        <v>0</v>
      </c>
    </row>
    <row r="14" customFormat="false" ht="23.85" hidden="false" customHeight="false" outlineLevel="0" collapsed="false">
      <c r="A14" s="5" t="n">
        <v>13</v>
      </c>
      <c r="B14" s="5" t="s">
        <v>860</v>
      </c>
      <c r="C14" s="5" t="s">
        <v>795</v>
      </c>
      <c r="D14" s="5" t="s">
        <v>861</v>
      </c>
      <c r="E14" s="5" t="n">
        <v>0</v>
      </c>
      <c r="F14" s="5" t="n">
        <v>0</v>
      </c>
      <c r="G14" s="5" t="n">
        <v>0</v>
      </c>
      <c r="H14" s="5" t="n">
        <v>0</v>
      </c>
      <c r="I14" s="5" t="n">
        <v>0</v>
      </c>
      <c r="J14" s="5" t="n">
        <v>0</v>
      </c>
      <c r="K14" s="5" t="n">
        <v>0</v>
      </c>
      <c r="L14" s="5" t="n">
        <v>0</v>
      </c>
      <c r="M14" s="5" t="n">
        <v>0</v>
      </c>
      <c r="N14" s="5" t="n">
        <v>1</v>
      </c>
      <c r="O14" s="5" t="n">
        <v>0</v>
      </c>
      <c r="P14" s="5" t="n">
        <v>0</v>
      </c>
      <c r="Q14" s="5" t="n">
        <v>0</v>
      </c>
      <c r="R14" s="5" t="n">
        <v>0</v>
      </c>
      <c r="S14" s="5" t="n">
        <v>0</v>
      </c>
      <c r="T14" s="5" t="n">
        <v>0</v>
      </c>
    </row>
    <row r="15" customFormat="false" ht="23.85" hidden="false" customHeight="false" outlineLevel="0" collapsed="false">
      <c r="A15" s="5" t="n">
        <v>14</v>
      </c>
      <c r="B15" s="5" t="s">
        <v>864</v>
      </c>
      <c r="C15" s="5" t="s">
        <v>795</v>
      </c>
      <c r="D15" s="5" t="s">
        <v>865</v>
      </c>
      <c r="E15" s="5" t="n">
        <v>1</v>
      </c>
      <c r="F15" s="5" t="n">
        <v>0</v>
      </c>
      <c r="G15" s="5" t="n">
        <v>0</v>
      </c>
      <c r="H15" s="5" t="n">
        <v>0</v>
      </c>
      <c r="I15" s="5" t="n">
        <v>0</v>
      </c>
      <c r="J15" s="5" t="n">
        <v>0</v>
      </c>
      <c r="K15" s="5" t="n">
        <v>0</v>
      </c>
      <c r="L15" s="5" t="n">
        <v>0</v>
      </c>
      <c r="M15" s="5" t="n">
        <v>0</v>
      </c>
      <c r="N15" s="5" t="n">
        <v>0</v>
      </c>
      <c r="O15" s="5" t="n">
        <v>0</v>
      </c>
      <c r="P15" s="5" t="n">
        <v>0</v>
      </c>
      <c r="Q15" s="5" t="n">
        <v>0</v>
      </c>
      <c r="R15" s="5" t="n">
        <v>1</v>
      </c>
      <c r="S15" s="5" t="n">
        <v>0</v>
      </c>
      <c r="T15" s="5" t="n">
        <v>0</v>
      </c>
    </row>
    <row r="16" customFormat="false" ht="23.85" hidden="false" customHeight="false" outlineLevel="0" collapsed="false">
      <c r="A16" s="5" t="n">
        <v>15</v>
      </c>
      <c r="B16" s="5" t="s">
        <v>88</v>
      </c>
      <c r="C16" s="5" t="s">
        <v>795</v>
      </c>
      <c r="D16" s="5" t="s">
        <v>867</v>
      </c>
      <c r="E16" s="5" t="n">
        <v>1</v>
      </c>
      <c r="F16" s="5" t="n">
        <v>1</v>
      </c>
      <c r="G16" s="5" t="n">
        <v>0</v>
      </c>
      <c r="H16" s="5" t="n">
        <v>0</v>
      </c>
      <c r="I16" s="5" t="n">
        <v>0</v>
      </c>
      <c r="J16" s="5" t="n">
        <v>0</v>
      </c>
      <c r="K16" s="5" t="n">
        <v>0</v>
      </c>
      <c r="L16" s="5" t="n">
        <v>0</v>
      </c>
      <c r="M16" s="5" t="n">
        <v>0</v>
      </c>
      <c r="N16" s="5" t="n">
        <v>0</v>
      </c>
      <c r="O16" s="5" t="n">
        <v>0</v>
      </c>
      <c r="P16" s="5" t="n">
        <v>0</v>
      </c>
      <c r="Q16" s="5" t="n">
        <v>0</v>
      </c>
      <c r="R16" s="5" t="n">
        <v>0</v>
      </c>
      <c r="S16" s="5" t="n">
        <v>0</v>
      </c>
      <c r="T16" s="5" t="n">
        <v>0</v>
      </c>
    </row>
    <row r="17" customFormat="false" ht="23.85" hidden="false" customHeight="false" outlineLevel="0" collapsed="false">
      <c r="A17" s="5" t="n">
        <v>16</v>
      </c>
      <c r="B17" s="5" t="s">
        <v>869</v>
      </c>
      <c r="C17" s="5" t="s">
        <v>870</v>
      </c>
      <c r="D17" s="5" t="s">
        <v>14</v>
      </c>
      <c r="E17" s="5" t="n">
        <v>1</v>
      </c>
      <c r="F17" s="5" t="n">
        <v>1</v>
      </c>
      <c r="G17" s="5" t="n">
        <v>1</v>
      </c>
      <c r="H17" s="5" t="n">
        <v>0</v>
      </c>
      <c r="I17" s="5" t="n">
        <v>0</v>
      </c>
      <c r="J17" s="5" t="n">
        <v>1</v>
      </c>
      <c r="K17" s="5" t="n">
        <v>0</v>
      </c>
      <c r="L17" s="5" t="n">
        <v>0</v>
      </c>
      <c r="M17" s="5" t="n">
        <v>0</v>
      </c>
      <c r="N17" s="5" t="n">
        <v>0</v>
      </c>
      <c r="O17" s="5" t="n">
        <v>1</v>
      </c>
      <c r="P17" s="5" t="n">
        <v>0</v>
      </c>
      <c r="Q17" s="5" t="n">
        <v>0</v>
      </c>
      <c r="R17" s="5" t="n">
        <v>0</v>
      </c>
      <c r="S17" s="5" t="n">
        <v>0</v>
      </c>
      <c r="T17" s="5" t="n">
        <v>0</v>
      </c>
    </row>
    <row r="18" customFormat="false" ht="23.85" hidden="false" customHeight="false" outlineLevel="0" collapsed="false">
      <c r="A18" s="5" t="n">
        <v>17</v>
      </c>
      <c r="B18" s="5" t="s">
        <v>94</v>
      </c>
      <c r="C18" s="5" t="s">
        <v>795</v>
      </c>
      <c r="D18" s="5" t="s">
        <v>873</v>
      </c>
      <c r="E18" s="5" t="n">
        <v>0</v>
      </c>
      <c r="F18" s="5" t="n">
        <v>0</v>
      </c>
      <c r="G18" s="5" t="n">
        <v>1</v>
      </c>
      <c r="H18" s="5" t="n">
        <v>0</v>
      </c>
      <c r="I18" s="5" t="n">
        <v>1</v>
      </c>
      <c r="J18" s="5" t="n">
        <v>0</v>
      </c>
      <c r="K18" s="5" t="n">
        <v>0</v>
      </c>
      <c r="L18" s="5" t="n">
        <v>0</v>
      </c>
      <c r="M18" s="5" t="n">
        <v>0</v>
      </c>
      <c r="N18" s="5" t="n">
        <v>0</v>
      </c>
      <c r="O18" s="5" t="n">
        <v>0</v>
      </c>
      <c r="P18" s="5" t="n">
        <v>0</v>
      </c>
      <c r="Q18" s="5" t="n">
        <v>0</v>
      </c>
      <c r="R18" s="5" t="n">
        <v>0</v>
      </c>
      <c r="S18" s="5" t="n">
        <v>0</v>
      </c>
      <c r="T18" s="5" t="n">
        <v>0</v>
      </c>
    </row>
    <row r="19" customFormat="false" ht="23.85" hidden="false" customHeight="false" outlineLevel="0" collapsed="false">
      <c r="A19" s="5" t="n">
        <v>18</v>
      </c>
      <c r="B19" s="5" t="s">
        <v>877</v>
      </c>
      <c r="C19" s="5" t="s">
        <v>795</v>
      </c>
      <c r="D19" s="5" t="s">
        <v>879</v>
      </c>
      <c r="E19" s="5" t="n">
        <v>0</v>
      </c>
      <c r="F19" s="5" t="n">
        <v>1</v>
      </c>
      <c r="G19" s="5" t="n">
        <v>0</v>
      </c>
      <c r="H19" s="5" t="n">
        <v>1</v>
      </c>
      <c r="I19" s="5" t="n">
        <v>0</v>
      </c>
      <c r="J19" s="5" t="n">
        <v>0</v>
      </c>
      <c r="K19" s="5" t="n">
        <v>0</v>
      </c>
      <c r="L19" s="5" t="n">
        <v>0</v>
      </c>
      <c r="M19" s="5" t="n">
        <v>1</v>
      </c>
      <c r="N19" s="5" t="n">
        <v>0</v>
      </c>
      <c r="O19" s="5" t="n">
        <v>0</v>
      </c>
      <c r="P19" s="5" t="n">
        <v>0</v>
      </c>
      <c r="Q19" s="5" t="n">
        <v>0</v>
      </c>
      <c r="R19" s="5" t="n">
        <v>0</v>
      </c>
      <c r="S19" s="5" t="n">
        <v>0</v>
      </c>
      <c r="T19" s="5" t="n">
        <v>0</v>
      </c>
    </row>
    <row r="20" customFormat="false" ht="23.85" hidden="false" customHeight="false" outlineLevel="0" collapsed="false">
      <c r="A20" s="5" t="n">
        <v>19</v>
      </c>
      <c r="B20" s="5" t="s">
        <v>882</v>
      </c>
      <c r="C20" s="5" t="s">
        <v>795</v>
      </c>
      <c r="D20" s="5" t="s">
        <v>883</v>
      </c>
      <c r="E20" s="5" t="n">
        <v>0</v>
      </c>
      <c r="F20" s="5" t="n">
        <v>1</v>
      </c>
      <c r="G20" s="5" t="n">
        <v>0</v>
      </c>
      <c r="H20" s="5" t="n">
        <v>0</v>
      </c>
      <c r="I20" s="5" t="n">
        <v>0</v>
      </c>
      <c r="J20" s="5" t="n">
        <v>0</v>
      </c>
      <c r="K20" s="5" t="n">
        <v>0</v>
      </c>
      <c r="L20" s="5" t="n">
        <v>0</v>
      </c>
      <c r="M20" s="5" t="n">
        <v>0</v>
      </c>
      <c r="N20" s="5" t="n">
        <v>0</v>
      </c>
      <c r="O20" s="5" t="n">
        <v>0</v>
      </c>
      <c r="P20" s="5" t="n">
        <v>1</v>
      </c>
      <c r="Q20" s="5" t="n">
        <v>0</v>
      </c>
      <c r="R20" s="5" t="n">
        <v>0</v>
      </c>
      <c r="S20" s="5" t="n">
        <v>0</v>
      </c>
      <c r="T20" s="5" t="n">
        <v>0</v>
      </c>
    </row>
    <row r="21" customFormat="false" ht="23.85" hidden="false" customHeight="false" outlineLevel="0" collapsed="false">
      <c r="A21" s="5" t="n">
        <v>20</v>
      </c>
      <c r="B21" s="5" t="s">
        <v>885</v>
      </c>
      <c r="C21" s="5" t="s">
        <v>795</v>
      </c>
      <c r="D21" s="5" t="s">
        <v>886</v>
      </c>
      <c r="E21" s="5" t="n">
        <v>1</v>
      </c>
      <c r="F21" s="5" t="n">
        <v>0</v>
      </c>
      <c r="G21" s="5" t="n">
        <v>0</v>
      </c>
      <c r="H21" s="5" t="n">
        <v>0</v>
      </c>
      <c r="I21" s="5" t="n">
        <v>0</v>
      </c>
      <c r="J21" s="5" t="n">
        <v>0</v>
      </c>
      <c r="K21" s="5" t="n">
        <v>1</v>
      </c>
      <c r="L21" s="5" t="n">
        <v>0</v>
      </c>
      <c r="M21" s="5" t="n">
        <v>0</v>
      </c>
      <c r="N21" s="5" t="n">
        <v>0</v>
      </c>
      <c r="O21" s="5" t="n">
        <v>0</v>
      </c>
      <c r="P21" s="5" t="n">
        <v>0</v>
      </c>
      <c r="Q21" s="5" t="n">
        <v>0</v>
      </c>
      <c r="R21" s="5" t="n">
        <v>0</v>
      </c>
      <c r="S21" s="5" t="n">
        <v>0</v>
      </c>
      <c r="T21" s="5" t="n">
        <v>0</v>
      </c>
    </row>
    <row r="22" customFormat="false" ht="23.85" hidden="false" customHeight="false" outlineLevel="0" collapsed="false">
      <c r="A22" s="5" t="n">
        <v>21</v>
      </c>
      <c r="B22" s="5" t="s">
        <v>102</v>
      </c>
      <c r="C22" s="5" t="s">
        <v>795</v>
      </c>
      <c r="D22" s="5" t="s">
        <v>888</v>
      </c>
      <c r="E22" s="5" t="n">
        <v>1</v>
      </c>
      <c r="F22" s="5" t="n">
        <v>0</v>
      </c>
      <c r="G22" s="5" t="n">
        <v>0</v>
      </c>
      <c r="H22" s="5" t="n">
        <v>0</v>
      </c>
      <c r="I22" s="5" t="n">
        <v>0</v>
      </c>
      <c r="J22" s="5" t="n">
        <v>0</v>
      </c>
      <c r="K22" s="5" t="n">
        <v>1</v>
      </c>
      <c r="L22" s="5" t="n">
        <v>0</v>
      </c>
      <c r="M22" s="5" t="n">
        <v>0</v>
      </c>
      <c r="N22" s="5" t="n">
        <v>0</v>
      </c>
      <c r="O22" s="5" t="n">
        <v>0</v>
      </c>
      <c r="P22" s="5" t="n">
        <v>0</v>
      </c>
      <c r="Q22" s="5" t="n">
        <v>0</v>
      </c>
      <c r="R22" s="5" t="n">
        <v>0</v>
      </c>
      <c r="S22" s="5" t="n">
        <v>0</v>
      </c>
      <c r="T22" s="5" t="n">
        <v>0</v>
      </c>
    </row>
    <row r="23" customFormat="false" ht="23.85" hidden="false" customHeight="false" outlineLevel="0" collapsed="false">
      <c r="A23" s="5" t="n">
        <v>22</v>
      </c>
      <c r="B23" s="5" t="s">
        <v>892</v>
      </c>
      <c r="C23" s="5" t="s">
        <v>795</v>
      </c>
      <c r="D23" s="5" t="s">
        <v>893</v>
      </c>
      <c r="E23" s="5" t="n">
        <v>1</v>
      </c>
      <c r="F23" s="5" t="n">
        <v>0</v>
      </c>
      <c r="G23" s="5" t="n">
        <v>0</v>
      </c>
      <c r="H23" s="5" t="n">
        <v>0</v>
      </c>
      <c r="I23" s="5" t="n">
        <v>0</v>
      </c>
      <c r="J23" s="5" t="n">
        <v>0</v>
      </c>
      <c r="K23" s="5" t="n">
        <v>0</v>
      </c>
      <c r="L23" s="5" t="n">
        <v>0</v>
      </c>
      <c r="M23" s="5" t="n">
        <v>0</v>
      </c>
      <c r="N23" s="5" t="n">
        <v>0</v>
      </c>
      <c r="O23" s="5" t="n">
        <v>1</v>
      </c>
      <c r="P23" s="5" t="n">
        <v>0</v>
      </c>
      <c r="Q23" s="5" t="n">
        <v>0</v>
      </c>
      <c r="R23" s="5" t="n">
        <v>0</v>
      </c>
      <c r="S23" s="5" t="n">
        <v>0</v>
      </c>
      <c r="T23" s="5" t="n">
        <v>0</v>
      </c>
    </row>
    <row r="24" customFormat="false" ht="23.85" hidden="false" customHeight="false" outlineLevel="0" collapsed="false">
      <c r="A24" s="5" t="n">
        <v>23</v>
      </c>
      <c r="B24" s="5" t="s">
        <v>896</v>
      </c>
      <c r="C24" s="5" t="s">
        <v>795</v>
      </c>
      <c r="D24" s="5" t="s">
        <v>897</v>
      </c>
      <c r="E24" s="5" t="n">
        <v>0</v>
      </c>
      <c r="F24" s="5" t="n">
        <v>0</v>
      </c>
      <c r="G24" s="5" t="n">
        <v>0</v>
      </c>
      <c r="H24" s="5" t="n">
        <v>0</v>
      </c>
      <c r="I24" s="5" t="n">
        <v>0</v>
      </c>
      <c r="J24" s="5" t="n">
        <v>0</v>
      </c>
      <c r="K24" s="5" t="n">
        <v>0</v>
      </c>
      <c r="L24" s="5" t="n">
        <v>0</v>
      </c>
      <c r="M24" s="5" t="n">
        <v>0</v>
      </c>
      <c r="N24" s="5" t="n">
        <v>0</v>
      </c>
      <c r="O24" s="5" t="n">
        <v>0</v>
      </c>
      <c r="P24" s="5" t="n">
        <v>0</v>
      </c>
      <c r="Q24" s="5" t="n">
        <v>0</v>
      </c>
      <c r="R24" s="5" t="n">
        <v>0</v>
      </c>
      <c r="S24" s="5" t="n">
        <v>0</v>
      </c>
      <c r="T24" s="5" t="n">
        <v>0</v>
      </c>
    </row>
    <row r="25" customFormat="false" ht="23.85" hidden="false" customHeight="false" outlineLevel="0" collapsed="false">
      <c r="A25" s="5" t="n">
        <v>24</v>
      </c>
      <c r="B25" s="5" t="s">
        <v>899</v>
      </c>
      <c r="C25" s="5" t="s">
        <v>835</v>
      </c>
      <c r="D25" s="5" t="s">
        <v>900</v>
      </c>
      <c r="E25" s="5" t="n">
        <v>1</v>
      </c>
      <c r="F25" s="5" t="n">
        <v>1</v>
      </c>
      <c r="G25" s="5" t="n">
        <v>1</v>
      </c>
      <c r="H25" s="5" t="n">
        <v>0</v>
      </c>
      <c r="I25" s="5" t="n">
        <v>1</v>
      </c>
      <c r="J25" s="5" t="n">
        <v>1</v>
      </c>
      <c r="K25" s="5" t="n">
        <v>0</v>
      </c>
      <c r="L25" s="5" t="n">
        <v>0</v>
      </c>
      <c r="M25" s="5" t="n">
        <v>0</v>
      </c>
      <c r="N25" s="5" t="n">
        <v>0</v>
      </c>
      <c r="O25" s="5" t="n">
        <v>0</v>
      </c>
      <c r="P25" s="5" t="n">
        <v>0</v>
      </c>
      <c r="Q25" s="5" t="n">
        <v>0</v>
      </c>
      <c r="R25" s="5" t="n">
        <v>0</v>
      </c>
      <c r="S25" s="5" t="n">
        <v>0</v>
      </c>
      <c r="T25" s="5" t="n">
        <v>0</v>
      </c>
    </row>
    <row r="26" customFormat="false" ht="23.85" hidden="false" customHeight="false" outlineLevel="0" collapsed="false">
      <c r="A26" s="5" t="n">
        <v>25</v>
      </c>
      <c r="B26" s="5" t="s">
        <v>902</v>
      </c>
      <c r="C26" s="5" t="s">
        <v>795</v>
      </c>
      <c r="D26" s="5" t="s">
        <v>903</v>
      </c>
      <c r="E26" s="5" t="n">
        <v>1</v>
      </c>
      <c r="F26" s="5" t="n">
        <v>0</v>
      </c>
      <c r="G26" s="5" t="n">
        <v>0</v>
      </c>
      <c r="H26" s="5" t="n">
        <v>0</v>
      </c>
      <c r="I26" s="5" t="n">
        <v>0</v>
      </c>
      <c r="J26" s="5" t="n">
        <v>0</v>
      </c>
      <c r="K26" s="5" t="n">
        <v>0</v>
      </c>
      <c r="L26" s="5" t="n">
        <v>0</v>
      </c>
      <c r="M26" s="5" t="n">
        <v>0</v>
      </c>
      <c r="N26" s="5" t="n">
        <v>0</v>
      </c>
      <c r="O26" s="5" t="n">
        <v>0</v>
      </c>
      <c r="P26" s="5" t="n">
        <v>0</v>
      </c>
      <c r="Q26" s="5" t="n">
        <v>0</v>
      </c>
      <c r="R26" s="5" t="n">
        <v>0</v>
      </c>
      <c r="S26" s="5" t="n">
        <v>0</v>
      </c>
      <c r="T26" s="5" t="n">
        <v>0</v>
      </c>
    </row>
    <row r="27" customFormat="false" ht="23.85" hidden="false" customHeight="false" outlineLevel="0" collapsed="false">
      <c r="A27" s="5" t="n">
        <v>26</v>
      </c>
      <c r="B27" s="5" t="s">
        <v>906</v>
      </c>
      <c r="C27" s="5" t="s">
        <v>795</v>
      </c>
      <c r="D27" s="5" t="s">
        <v>907</v>
      </c>
      <c r="E27" s="5" t="n">
        <v>0</v>
      </c>
      <c r="F27" s="5" t="n">
        <v>0</v>
      </c>
      <c r="G27" s="5" t="n">
        <v>1</v>
      </c>
      <c r="H27" s="5" t="n">
        <v>0</v>
      </c>
      <c r="I27" s="5" t="n">
        <v>0</v>
      </c>
      <c r="J27" s="5" t="n">
        <v>0</v>
      </c>
      <c r="K27" s="5" t="n">
        <v>0</v>
      </c>
      <c r="L27" s="5" t="n">
        <v>0</v>
      </c>
      <c r="M27" s="5" t="n">
        <v>0</v>
      </c>
      <c r="N27" s="5" t="n">
        <v>1</v>
      </c>
      <c r="O27" s="5" t="n">
        <v>0</v>
      </c>
      <c r="P27" s="5" t="n">
        <v>0</v>
      </c>
      <c r="Q27" s="5" t="n">
        <v>1</v>
      </c>
      <c r="R27" s="5" t="n">
        <v>0</v>
      </c>
      <c r="S27" s="5" t="n">
        <v>0</v>
      </c>
      <c r="T27" s="5" t="n">
        <v>0</v>
      </c>
    </row>
    <row r="28" customFormat="false" ht="23.85" hidden="false" customHeight="false" outlineLevel="0" collapsed="false">
      <c r="A28" s="5" t="n">
        <v>27</v>
      </c>
      <c r="B28" s="5" t="s">
        <v>115</v>
      </c>
      <c r="C28" s="5" t="s">
        <v>795</v>
      </c>
      <c r="D28" s="5" t="s">
        <v>910</v>
      </c>
      <c r="E28" s="5" t="n">
        <v>1</v>
      </c>
      <c r="F28" s="5" t="n">
        <v>0</v>
      </c>
      <c r="G28" s="5" t="n">
        <v>1</v>
      </c>
      <c r="H28" s="5" t="n">
        <v>0</v>
      </c>
      <c r="I28" s="5" t="n">
        <v>1</v>
      </c>
      <c r="J28" s="5" t="n">
        <v>0</v>
      </c>
      <c r="K28" s="5" t="n">
        <v>0</v>
      </c>
      <c r="L28" s="5" t="n">
        <v>0</v>
      </c>
      <c r="M28" s="5" t="n">
        <v>0</v>
      </c>
      <c r="N28" s="5" t="n">
        <v>0</v>
      </c>
      <c r="O28" s="5" t="n">
        <v>1</v>
      </c>
      <c r="P28" s="5" t="n">
        <v>0</v>
      </c>
      <c r="Q28" s="5" t="n">
        <v>0</v>
      </c>
      <c r="R28" s="5" t="n">
        <v>0</v>
      </c>
      <c r="S28" s="5" t="n">
        <v>0</v>
      </c>
      <c r="T28" s="5" t="n">
        <v>0</v>
      </c>
    </row>
    <row r="29" customFormat="false" ht="23.85" hidden="false" customHeight="false" outlineLevel="0" collapsed="false">
      <c r="A29" s="5" t="n">
        <v>28</v>
      </c>
      <c r="B29" s="5" t="s">
        <v>914</v>
      </c>
      <c r="C29" s="5" t="s">
        <v>795</v>
      </c>
      <c r="D29" s="5" t="s">
        <v>915</v>
      </c>
      <c r="E29" s="5" t="n">
        <v>1</v>
      </c>
      <c r="F29" s="5" t="n">
        <v>1</v>
      </c>
      <c r="G29" s="5" t="n">
        <v>0</v>
      </c>
      <c r="H29" s="5" t="n">
        <v>0</v>
      </c>
      <c r="I29" s="5" t="n">
        <v>0</v>
      </c>
      <c r="J29" s="5" t="n">
        <v>0</v>
      </c>
      <c r="K29" s="5" t="n">
        <v>1</v>
      </c>
      <c r="L29" s="5" t="n">
        <v>0</v>
      </c>
      <c r="M29" s="5" t="n">
        <v>0</v>
      </c>
      <c r="N29" s="5" t="n">
        <v>0</v>
      </c>
      <c r="O29" s="5" t="n">
        <v>0</v>
      </c>
      <c r="P29" s="5" t="n">
        <v>0</v>
      </c>
      <c r="Q29" s="5" t="n">
        <v>0</v>
      </c>
      <c r="R29" s="5" t="n">
        <v>0</v>
      </c>
      <c r="S29" s="5" t="n">
        <v>1</v>
      </c>
      <c r="T29" s="5" t="n">
        <v>0</v>
      </c>
    </row>
    <row r="30" customFormat="false" ht="23.85" hidden="false" customHeight="false" outlineLevel="0" collapsed="false">
      <c r="A30" s="5" t="n">
        <v>29</v>
      </c>
      <c r="B30" s="5" t="s">
        <v>917</v>
      </c>
      <c r="C30" s="5" t="s">
        <v>795</v>
      </c>
      <c r="D30" s="5" t="s">
        <v>919</v>
      </c>
      <c r="E30" s="5" t="n">
        <v>1</v>
      </c>
      <c r="F30" s="5" t="n">
        <v>0</v>
      </c>
      <c r="G30" s="5" t="n">
        <v>0</v>
      </c>
      <c r="H30" s="5" t="n">
        <v>0</v>
      </c>
      <c r="I30" s="5" t="n">
        <v>0</v>
      </c>
      <c r="J30" s="5" t="n">
        <v>0</v>
      </c>
      <c r="K30" s="5" t="n">
        <v>0</v>
      </c>
      <c r="L30" s="5" t="n">
        <v>0</v>
      </c>
      <c r="M30" s="5" t="n">
        <v>0</v>
      </c>
      <c r="N30" s="5" t="n">
        <v>0</v>
      </c>
      <c r="O30" s="5" t="n">
        <v>0</v>
      </c>
      <c r="P30" s="5" t="n">
        <v>0</v>
      </c>
      <c r="Q30" s="5" t="n">
        <v>0</v>
      </c>
      <c r="R30" s="5" t="n">
        <v>0</v>
      </c>
      <c r="S30" s="5" t="n">
        <v>0</v>
      </c>
      <c r="T30" s="5" t="n">
        <v>0</v>
      </c>
    </row>
    <row r="31" customFormat="false" ht="23.85" hidden="false" customHeight="false" outlineLevel="0" collapsed="false">
      <c r="A31" s="5" t="n">
        <v>30</v>
      </c>
      <c r="B31" s="5" t="s">
        <v>921</v>
      </c>
      <c r="C31" s="5" t="s">
        <v>795</v>
      </c>
      <c r="D31" s="5" t="s">
        <v>922</v>
      </c>
      <c r="E31" s="5" t="n">
        <v>1</v>
      </c>
      <c r="F31" s="5" t="n">
        <v>1</v>
      </c>
      <c r="G31" s="5" t="n">
        <v>0</v>
      </c>
      <c r="H31" s="5" t="n">
        <v>0</v>
      </c>
      <c r="I31" s="5" t="n">
        <v>0</v>
      </c>
      <c r="J31" s="5" t="n">
        <v>0</v>
      </c>
      <c r="K31" s="5" t="n">
        <v>0</v>
      </c>
      <c r="L31" s="5" t="n">
        <v>0</v>
      </c>
      <c r="M31" s="5" t="n">
        <v>0</v>
      </c>
      <c r="N31" s="5" t="n">
        <v>0</v>
      </c>
      <c r="O31" s="5" t="n">
        <v>1</v>
      </c>
      <c r="P31" s="5" t="n">
        <v>0</v>
      </c>
      <c r="Q31" s="5" t="n">
        <v>0</v>
      </c>
      <c r="R31" s="5" t="n">
        <v>0</v>
      </c>
      <c r="S31" s="5" t="n">
        <v>0</v>
      </c>
      <c r="T31" s="5" t="n">
        <v>0</v>
      </c>
    </row>
    <row r="32" customFormat="false" ht="23.85" hidden="false" customHeight="false" outlineLevel="0" collapsed="false">
      <c r="A32" s="5" t="n">
        <v>31</v>
      </c>
      <c r="B32" s="5" t="s">
        <v>924</v>
      </c>
      <c r="C32" s="5" t="s">
        <v>795</v>
      </c>
      <c r="D32" s="5" t="s">
        <v>925</v>
      </c>
      <c r="E32" s="5" t="n">
        <v>1</v>
      </c>
      <c r="F32" s="5" t="n">
        <v>1</v>
      </c>
      <c r="G32" s="5" t="n">
        <v>1</v>
      </c>
      <c r="H32" s="5" t="n">
        <v>0</v>
      </c>
      <c r="I32" s="5" t="n">
        <v>0</v>
      </c>
      <c r="J32" s="5" t="n">
        <v>0</v>
      </c>
      <c r="K32" s="5" t="n">
        <v>0</v>
      </c>
      <c r="L32" s="5" t="n">
        <v>0</v>
      </c>
      <c r="M32" s="5" t="n">
        <v>0</v>
      </c>
      <c r="N32" s="5" t="n">
        <v>1</v>
      </c>
      <c r="O32" s="5" t="n">
        <v>1</v>
      </c>
      <c r="P32" s="5" t="n">
        <v>0</v>
      </c>
      <c r="Q32" s="5" t="n">
        <v>0</v>
      </c>
      <c r="R32" s="5" t="n">
        <v>0</v>
      </c>
      <c r="S32" s="5" t="n">
        <v>0</v>
      </c>
      <c r="T32" s="5" t="n">
        <v>0</v>
      </c>
    </row>
    <row r="33" customFormat="false" ht="23.85" hidden="false" customHeight="false" outlineLevel="0" collapsed="false">
      <c r="A33" s="5" t="n">
        <v>32</v>
      </c>
      <c r="B33" s="5" t="s">
        <v>928</v>
      </c>
      <c r="C33" s="5" t="s">
        <v>795</v>
      </c>
      <c r="D33" s="5" t="s">
        <v>929</v>
      </c>
      <c r="E33" s="5" t="n">
        <v>1</v>
      </c>
      <c r="F33" s="5" t="n">
        <v>1</v>
      </c>
      <c r="G33" s="5" t="n">
        <v>1</v>
      </c>
      <c r="H33" s="5" t="n">
        <v>0</v>
      </c>
      <c r="I33" s="5" t="n">
        <v>0</v>
      </c>
      <c r="J33" s="5" t="n">
        <v>0</v>
      </c>
      <c r="K33" s="5" t="n">
        <v>0</v>
      </c>
      <c r="L33" s="5" t="n">
        <v>0</v>
      </c>
      <c r="M33" s="5" t="n">
        <v>0</v>
      </c>
      <c r="N33" s="5" t="n">
        <v>1</v>
      </c>
      <c r="O33" s="5" t="n">
        <v>1</v>
      </c>
      <c r="P33" s="5" t="n">
        <v>0</v>
      </c>
      <c r="Q33" s="5" t="n">
        <v>0</v>
      </c>
      <c r="R33" s="5" t="n">
        <v>0</v>
      </c>
      <c r="S33" s="5" t="n">
        <v>0</v>
      </c>
      <c r="T33" s="5" t="n">
        <v>0</v>
      </c>
    </row>
    <row r="34" customFormat="false" ht="23.85" hidden="false" customHeight="false" outlineLevel="0" collapsed="false">
      <c r="A34" s="5" t="n">
        <v>33</v>
      </c>
      <c r="B34" s="5" t="s">
        <v>932</v>
      </c>
      <c r="C34" s="5" t="s">
        <v>795</v>
      </c>
      <c r="D34" s="5" t="s">
        <v>933</v>
      </c>
      <c r="E34" s="5" t="n">
        <v>0</v>
      </c>
      <c r="F34" s="5" t="n">
        <v>0</v>
      </c>
      <c r="G34" s="5" t="n">
        <v>0</v>
      </c>
      <c r="H34" s="5" t="n">
        <v>0</v>
      </c>
      <c r="I34" s="5" t="n">
        <v>0</v>
      </c>
      <c r="J34" s="5" t="n">
        <v>0</v>
      </c>
      <c r="K34" s="5" t="n">
        <v>0</v>
      </c>
      <c r="L34" s="5" t="n">
        <v>0</v>
      </c>
      <c r="M34" s="5" t="n">
        <v>0</v>
      </c>
      <c r="N34" s="5" t="n">
        <v>0</v>
      </c>
      <c r="O34" s="5" t="n">
        <v>0</v>
      </c>
      <c r="P34" s="5" t="n">
        <v>0</v>
      </c>
      <c r="Q34" s="5" t="n">
        <v>0</v>
      </c>
      <c r="R34" s="5" t="n">
        <v>0</v>
      </c>
      <c r="S34" s="5" t="n">
        <v>0</v>
      </c>
      <c r="T34" s="5" t="n">
        <v>1</v>
      </c>
    </row>
    <row r="35" customFormat="false" ht="23.85" hidden="false" customHeight="false" outlineLevel="0" collapsed="false">
      <c r="A35" s="5" t="n">
        <v>34</v>
      </c>
      <c r="B35" s="5" t="s">
        <v>935</v>
      </c>
      <c r="C35" s="5" t="s">
        <v>795</v>
      </c>
      <c r="D35" s="5" t="s">
        <v>936</v>
      </c>
      <c r="E35" s="5" t="n">
        <v>0</v>
      </c>
      <c r="F35" s="5" t="n">
        <v>0</v>
      </c>
      <c r="G35" s="5" t="n">
        <v>0</v>
      </c>
      <c r="H35" s="5" t="n">
        <v>0</v>
      </c>
      <c r="I35" s="5" t="n">
        <v>0</v>
      </c>
      <c r="J35" s="5" t="n">
        <v>0</v>
      </c>
      <c r="K35" s="5" t="n">
        <v>0</v>
      </c>
      <c r="L35" s="5" t="n">
        <v>0</v>
      </c>
      <c r="M35" s="5" t="n">
        <v>0</v>
      </c>
      <c r="N35" s="5" t="n">
        <v>0</v>
      </c>
      <c r="O35" s="5" t="n">
        <v>1</v>
      </c>
      <c r="P35" s="5" t="n">
        <v>0</v>
      </c>
      <c r="Q35" s="5" t="n">
        <v>0</v>
      </c>
      <c r="R35" s="5" t="n">
        <v>0</v>
      </c>
      <c r="S35" s="5" t="n">
        <v>0</v>
      </c>
      <c r="T35" s="5" t="n">
        <v>0</v>
      </c>
    </row>
    <row r="36" customFormat="false" ht="15" hidden="false" customHeight="false" outlineLevel="0" collapsed="false">
      <c r="A36" s="5" t="n">
        <v>35</v>
      </c>
      <c r="B36" s="5" t="s">
        <v>132</v>
      </c>
      <c r="C36" s="5" t="s">
        <v>835</v>
      </c>
      <c r="D36" s="5" t="s">
        <v>16</v>
      </c>
      <c r="E36" s="5" t="n">
        <v>1</v>
      </c>
      <c r="F36" s="5" t="n">
        <v>1</v>
      </c>
      <c r="G36" s="5" t="n">
        <v>1</v>
      </c>
      <c r="H36" s="5" t="n">
        <v>0</v>
      </c>
      <c r="I36" s="5" t="n">
        <v>0</v>
      </c>
      <c r="J36" s="5" t="n">
        <v>1</v>
      </c>
      <c r="K36" s="5" t="n">
        <v>0</v>
      </c>
      <c r="L36" s="5" t="n">
        <v>0</v>
      </c>
      <c r="M36" s="5" t="n">
        <v>0</v>
      </c>
      <c r="N36" s="5" t="n">
        <v>0</v>
      </c>
      <c r="O36" s="5" t="n">
        <v>1</v>
      </c>
      <c r="P36" s="5" t="n">
        <v>0</v>
      </c>
      <c r="Q36" s="5" t="n">
        <v>0</v>
      </c>
      <c r="R36" s="5" t="n">
        <v>0</v>
      </c>
      <c r="S36" s="5" t="n">
        <v>0</v>
      </c>
      <c r="T36" s="5" t="n">
        <v>0</v>
      </c>
    </row>
    <row r="37" customFormat="false" ht="23.85" hidden="false" customHeight="false" outlineLevel="0" collapsed="false">
      <c r="A37" s="5" t="n">
        <v>36</v>
      </c>
      <c r="B37" s="5" t="s">
        <v>134</v>
      </c>
      <c r="C37" s="5" t="s">
        <v>795</v>
      </c>
      <c r="D37" s="5" t="s">
        <v>941</v>
      </c>
      <c r="E37" s="5" t="n">
        <v>0</v>
      </c>
      <c r="F37" s="5" t="n">
        <v>0</v>
      </c>
      <c r="G37" s="5" t="n">
        <v>1</v>
      </c>
      <c r="H37" s="5" t="n">
        <v>0</v>
      </c>
      <c r="I37" s="5" t="n">
        <v>0</v>
      </c>
      <c r="J37" s="5" t="n">
        <v>0</v>
      </c>
      <c r="K37" s="5" t="n">
        <v>1</v>
      </c>
      <c r="L37" s="5" t="n">
        <v>0</v>
      </c>
      <c r="M37" s="5" t="n">
        <v>0</v>
      </c>
      <c r="N37" s="5" t="n">
        <v>0</v>
      </c>
      <c r="O37" s="5" t="n">
        <v>0</v>
      </c>
      <c r="P37" s="5" t="n">
        <v>0</v>
      </c>
      <c r="Q37" s="5" t="n">
        <v>0</v>
      </c>
      <c r="R37" s="5" t="n">
        <v>0</v>
      </c>
      <c r="S37" s="5" t="n">
        <v>0</v>
      </c>
      <c r="T37" s="5" t="n">
        <v>0</v>
      </c>
    </row>
    <row r="38" customFormat="false" ht="23.85" hidden="false" customHeight="false" outlineLevel="0" collapsed="false">
      <c r="A38" s="5" t="n">
        <v>37</v>
      </c>
      <c r="B38" s="5" t="s">
        <v>944</v>
      </c>
      <c r="C38" s="5" t="s">
        <v>795</v>
      </c>
      <c r="D38" s="5" t="s">
        <v>945</v>
      </c>
      <c r="E38" s="5" t="n">
        <v>0</v>
      </c>
      <c r="F38" s="5" t="n">
        <v>0</v>
      </c>
      <c r="G38" s="5" t="n">
        <v>1</v>
      </c>
      <c r="H38" s="5" t="n">
        <v>0</v>
      </c>
      <c r="I38" s="5" t="n">
        <v>0</v>
      </c>
      <c r="J38" s="5" t="n">
        <v>0</v>
      </c>
      <c r="K38" s="5" t="n">
        <v>1</v>
      </c>
      <c r="L38" s="5" t="n">
        <v>0</v>
      </c>
      <c r="M38" s="5" t="n">
        <v>0</v>
      </c>
      <c r="N38" s="5" t="n">
        <v>0</v>
      </c>
      <c r="O38" s="5" t="n">
        <v>0</v>
      </c>
      <c r="P38" s="5" t="n">
        <v>0</v>
      </c>
      <c r="Q38" s="5" t="n">
        <v>0</v>
      </c>
      <c r="R38" s="5" t="n">
        <v>0</v>
      </c>
      <c r="S38" s="5" t="n">
        <v>0</v>
      </c>
      <c r="T38" s="5" t="n">
        <v>0</v>
      </c>
    </row>
    <row r="39" customFormat="false" ht="23.85" hidden="false" customHeight="false" outlineLevel="0" collapsed="false">
      <c r="A39" s="5" t="n">
        <v>38</v>
      </c>
      <c r="B39" s="5" t="s">
        <v>947</v>
      </c>
      <c r="C39" s="5" t="s">
        <v>795</v>
      </c>
      <c r="D39" s="5" t="s">
        <v>933</v>
      </c>
      <c r="E39" s="5" t="n">
        <v>0</v>
      </c>
      <c r="F39" s="5" t="n">
        <v>0</v>
      </c>
      <c r="G39" s="5" t="n">
        <v>0</v>
      </c>
      <c r="H39" s="5" t="n">
        <v>0</v>
      </c>
      <c r="I39" s="5" t="n">
        <v>0</v>
      </c>
      <c r="J39" s="5" t="n">
        <v>0</v>
      </c>
      <c r="K39" s="5" t="n">
        <v>0</v>
      </c>
      <c r="L39" s="5" t="n">
        <v>0</v>
      </c>
      <c r="M39" s="5" t="n">
        <v>0</v>
      </c>
      <c r="N39" s="5" t="n">
        <v>0</v>
      </c>
      <c r="O39" s="5" t="n">
        <v>0</v>
      </c>
      <c r="P39" s="5" t="n">
        <v>0</v>
      </c>
      <c r="Q39" s="5" t="n">
        <v>0</v>
      </c>
      <c r="R39" s="5" t="n">
        <v>0</v>
      </c>
      <c r="S39" s="5" t="n">
        <v>0</v>
      </c>
      <c r="T39" s="5" t="n">
        <v>1</v>
      </c>
    </row>
    <row r="40" customFormat="false" ht="23.85" hidden="false" customHeight="false" outlineLevel="0" collapsed="false">
      <c r="A40" s="5" t="n">
        <v>39</v>
      </c>
      <c r="B40" s="5" t="s">
        <v>949</v>
      </c>
      <c r="C40" s="5" t="s">
        <v>795</v>
      </c>
      <c r="D40" s="5" t="s">
        <v>950</v>
      </c>
      <c r="E40" s="5" t="n">
        <v>1</v>
      </c>
      <c r="F40" s="5" t="n">
        <v>0</v>
      </c>
      <c r="G40" s="5" t="n">
        <v>0</v>
      </c>
      <c r="H40" s="5" t="n">
        <v>0</v>
      </c>
      <c r="I40" s="5" t="n">
        <v>0</v>
      </c>
      <c r="J40" s="5" t="n">
        <v>0</v>
      </c>
      <c r="K40" s="5" t="n">
        <v>0</v>
      </c>
      <c r="L40" s="5" t="n">
        <v>0</v>
      </c>
      <c r="M40" s="5" t="n">
        <v>0</v>
      </c>
      <c r="N40" s="5" t="n">
        <v>1</v>
      </c>
      <c r="O40" s="5" t="n">
        <v>0</v>
      </c>
      <c r="P40" s="5" t="n">
        <v>1</v>
      </c>
      <c r="Q40" s="5" t="n">
        <v>1</v>
      </c>
      <c r="R40" s="5" t="n">
        <v>0</v>
      </c>
      <c r="S40" s="5" t="n">
        <v>0</v>
      </c>
      <c r="T40" s="5" t="n">
        <v>0</v>
      </c>
    </row>
    <row r="41" customFormat="false" ht="23.85" hidden="false" customHeight="false" outlineLevel="0" collapsed="false">
      <c r="A41" s="5" t="n">
        <v>40</v>
      </c>
      <c r="B41" s="5" t="s">
        <v>952</v>
      </c>
      <c r="C41" s="5" t="s">
        <v>795</v>
      </c>
      <c r="D41" s="5" t="s">
        <v>953</v>
      </c>
      <c r="E41" s="5" t="n">
        <v>0</v>
      </c>
      <c r="F41" s="5" t="n">
        <v>1</v>
      </c>
      <c r="G41" s="5" t="n">
        <v>0</v>
      </c>
      <c r="H41" s="5" t="n">
        <v>0</v>
      </c>
      <c r="I41" s="5" t="n">
        <v>0</v>
      </c>
      <c r="J41" s="5" t="n">
        <v>0</v>
      </c>
      <c r="K41" s="5" t="n">
        <v>0</v>
      </c>
      <c r="L41" s="5" t="n">
        <v>0</v>
      </c>
      <c r="M41" s="5" t="n">
        <v>0</v>
      </c>
      <c r="N41" s="5" t="n">
        <v>1</v>
      </c>
      <c r="O41" s="5" t="n">
        <v>0</v>
      </c>
      <c r="P41" s="5" t="n">
        <v>1</v>
      </c>
      <c r="Q41" s="5" t="n">
        <v>0</v>
      </c>
      <c r="R41" s="5" t="n">
        <v>0</v>
      </c>
      <c r="S41" s="5" t="n">
        <v>0</v>
      </c>
      <c r="T41" s="5" t="n">
        <v>0</v>
      </c>
    </row>
    <row r="42" customFormat="false" ht="23.85" hidden="false" customHeight="false" outlineLevel="0" collapsed="false">
      <c r="A42" s="5" t="n">
        <v>41</v>
      </c>
      <c r="B42" s="5" t="s">
        <v>956</v>
      </c>
      <c r="C42" s="5" t="s">
        <v>795</v>
      </c>
      <c r="D42" s="5" t="s">
        <v>957</v>
      </c>
      <c r="E42" s="5" t="n">
        <v>1</v>
      </c>
      <c r="F42" s="5" t="n">
        <v>1</v>
      </c>
      <c r="G42" s="5" t="n">
        <v>1</v>
      </c>
      <c r="H42" s="5" t="n">
        <v>0</v>
      </c>
      <c r="I42" s="5" t="n">
        <v>0</v>
      </c>
      <c r="J42" s="5" t="n">
        <v>0</v>
      </c>
      <c r="K42" s="5" t="n">
        <v>0</v>
      </c>
      <c r="L42" s="5" t="n">
        <v>0</v>
      </c>
      <c r="M42" s="5" t="n">
        <v>0</v>
      </c>
      <c r="N42" s="5" t="n">
        <v>1</v>
      </c>
      <c r="O42" s="5" t="n">
        <v>1</v>
      </c>
      <c r="P42" s="5" t="n">
        <v>0</v>
      </c>
      <c r="Q42" s="5" t="n">
        <v>0</v>
      </c>
      <c r="R42" s="5" t="n">
        <v>0</v>
      </c>
      <c r="S42" s="5" t="n">
        <v>0</v>
      </c>
      <c r="T42" s="5" t="n">
        <v>0</v>
      </c>
    </row>
    <row r="43" customFormat="false" ht="23.85" hidden="false" customHeight="false" outlineLevel="0" collapsed="false">
      <c r="A43" s="5" t="n">
        <v>42</v>
      </c>
      <c r="B43" s="5" t="s">
        <v>959</v>
      </c>
      <c r="C43" s="5" t="s">
        <v>795</v>
      </c>
      <c r="D43" s="5" t="s">
        <v>960</v>
      </c>
      <c r="E43" s="5" t="n">
        <v>0</v>
      </c>
      <c r="F43" s="5" t="n">
        <v>0</v>
      </c>
      <c r="G43" s="5" t="n">
        <v>0</v>
      </c>
      <c r="H43" s="5" t="n">
        <v>0</v>
      </c>
      <c r="I43" s="5" t="n">
        <v>0</v>
      </c>
      <c r="J43" s="5" t="n">
        <v>0</v>
      </c>
      <c r="K43" s="5" t="n">
        <v>1</v>
      </c>
      <c r="L43" s="5" t="n">
        <v>0</v>
      </c>
      <c r="M43" s="5" t="n">
        <v>0</v>
      </c>
      <c r="N43" s="5" t="n">
        <v>0</v>
      </c>
      <c r="O43" s="5" t="n">
        <v>1</v>
      </c>
      <c r="P43" s="5" t="n">
        <v>0</v>
      </c>
      <c r="Q43" s="5" t="n">
        <v>0</v>
      </c>
      <c r="R43" s="5" t="n">
        <v>0</v>
      </c>
      <c r="S43" s="5" t="n">
        <v>0</v>
      </c>
      <c r="T43" s="5" t="n">
        <v>0</v>
      </c>
    </row>
    <row r="44" customFormat="false" ht="23.85" hidden="false" customHeight="false" outlineLevel="0" collapsed="false">
      <c r="A44" s="5" t="n">
        <v>43</v>
      </c>
      <c r="B44" s="5" t="s">
        <v>962</v>
      </c>
      <c r="C44" s="5" t="s">
        <v>795</v>
      </c>
      <c r="D44" s="5" t="s">
        <v>963</v>
      </c>
      <c r="E44" s="5" t="n">
        <v>1</v>
      </c>
      <c r="F44" s="5" t="n">
        <v>1</v>
      </c>
      <c r="G44" s="5" t="n">
        <v>1</v>
      </c>
      <c r="H44" s="5" t="n">
        <v>0</v>
      </c>
      <c r="I44" s="5" t="n">
        <v>1</v>
      </c>
      <c r="J44" s="5" t="n">
        <v>0</v>
      </c>
      <c r="K44" s="5" t="n">
        <v>0</v>
      </c>
      <c r="L44" s="5" t="n">
        <v>0</v>
      </c>
      <c r="M44" s="5" t="n">
        <v>0</v>
      </c>
      <c r="N44" s="5" t="n">
        <v>1</v>
      </c>
      <c r="O44" s="5" t="n">
        <v>1</v>
      </c>
      <c r="P44" s="5" t="n">
        <v>0</v>
      </c>
      <c r="Q44" s="5" t="n">
        <v>0</v>
      </c>
      <c r="R44" s="5" t="n">
        <v>1</v>
      </c>
      <c r="S44" s="5" t="n">
        <v>0</v>
      </c>
      <c r="T44" s="5" t="n">
        <v>0</v>
      </c>
    </row>
    <row r="45" customFormat="false" ht="23.85" hidden="false" customHeight="false" outlineLevel="0" collapsed="false">
      <c r="A45" s="5" t="n">
        <v>44</v>
      </c>
      <c r="B45" s="5" t="s">
        <v>965</v>
      </c>
      <c r="C45" s="5" t="s">
        <v>795</v>
      </c>
      <c r="D45" s="5" t="s">
        <v>966</v>
      </c>
      <c r="E45" s="5" t="n">
        <v>1</v>
      </c>
      <c r="F45" s="5" t="n">
        <v>1</v>
      </c>
      <c r="G45" s="5" t="n">
        <v>1</v>
      </c>
      <c r="H45" s="5" t="n">
        <v>0</v>
      </c>
      <c r="I45" s="5" t="n">
        <v>0</v>
      </c>
      <c r="J45" s="5" t="n">
        <v>1</v>
      </c>
      <c r="K45" s="5" t="n">
        <v>0</v>
      </c>
      <c r="L45" s="5" t="n">
        <v>0</v>
      </c>
      <c r="M45" s="5" t="n">
        <v>0</v>
      </c>
      <c r="N45" s="5" t="n">
        <v>0</v>
      </c>
      <c r="O45" s="5" t="n">
        <v>1</v>
      </c>
      <c r="P45" s="5" t="n">
        <v>0</v>
      </c>
      <c r="Q45" s="5" t="n">
        <v>0</v>
      </c>
      <c r="R45" s="5" t="n">
        <v>1</v>
      </c>
      <c r="S45" s="5" t="n">
        <v>0</v>
      </c>
      <c r="T45" s="5" t="n">
        <v>0</v>
      </c>
    </row>
    <row r="46" customFormat="false" ht="23.85" hidden="false" customHeight="false" outlineLevel="0" collapsed="false">
      <c r="A46" s="5" t="n">
        <v>45</v>
      </c>
      <c r="B46" s="5" t="s">
        <v>968</v>
      </c>
      <c r="C46" s="5" t="s">
        <v>870</v>
      </c>
      <c r="D46" s="5" t="s">
        <v>14</v>
      </c>
      <c r="E46" s="5" t="n">
        <v>1</v>
      </c>
      <c r="F46" s="5" t="n">
        <v>1</v>
      </c>
      <c r="G46" s="5" t="n">
        <v>1</v>
      </c>
      <c r="H46" s="5" t="n">
        <v>0</v>
      </c>
      <c r="I46" s="5" t="n">
        <v>1</v>
      </c>
      <c r="J46" s="5" t="n">
        <v>1</v>
      </c>
      <c r="K46" s="5" t="n">
        <v>0</v>
      </c>
      <c r="L46" s="5" t="n">
        <v>0</v>
      </c>
      <c r="M46" s="5" t="n">
        <v>0</v>
      </c>
      <c r="N46" s="5" t="n">
        <v>0</v>
      </c>
      <c r="O46" s="5" t="n">
        <v>1</v>
      </c>
      <c r="P46" s="5" t="n">
        <v>0</v>
      </c>
      <c r="Q46" s="5" t="n">
        <v>0</v>
      </c>
      <c r="R46" s="5" t="n">
        <v>0</v>
      </c>
      <c r="S46" s="5" t="n">
        <v>0</v>
      </c>
      <c r="T46" s="5" t="n">
        <v>0</v>
      </c>
    </row>
    <row r="47" customFormat="false" ht="23.85" hidden="false" customHeight="false" outlineLevel="0" collapsed="false">
      <c r="A47" s="5" t="n">
        <v>46</v>
      </c>
      <c r="B47" s="5" t="s">
        <v>970</v>
      </c>
      <c r="C47" s="5" t="s">
        <v>795</v>
      </c>
      <c r="D47" s="5" t="s">
        <v>971</v>
      </c>
      <c r="E47" s="5" t="n">
        <v>0</v>
      </c>
      <c r="F47" s="5" t="n">
        <v>0</v>
      </c>
      <c r="G47" s="5" t="n">
        <v>1</v>
      </c>
      <c r="H47" s="5" t="n">
        <v>0</v>
      </c>
      <c r="I47" s="5" t="n">
        <v>0</v>
      </c>
      <c r="J47" s="5" t="n">
        <v>0</v>
      </c>
      <c r="K47" s="5" t="n">
        <v>0</v>
      </c>
      <c r="L47" s="5" t="n">
        <v>0</v>
      </c>
      <c r="M47" s="5" t="n">
        <v>1</v>
      </c>
      <c r="N47" s="5" t="n">
        <v>0</v>
      </c>
      <c r="O47" s="5" t="n">
        <v>0</v>
      </c>
      <c r="P47" s="5" t="n">
        <v>1</v>
      </c>
      <c r="Q47" s="5" t="n">
        <v>0</v>
      </c>
      <c r="R47" s="5" t="n">
        <v>0</v>
      </c>
      <c r="S47" s="5" t="n">
        <v>0</v>
      </c>
      <c r="T47" s="5" t="n">
        <v>0</v>
      </c>
    </row>
    <row r="48" customFormat="false" ht="23.85" hidden="false" customHeight="false" outlineLevel="0" collapsed="false">
      <c r="A48" s="5" t="n">
        <v>47</v>
      </c>
      <c r="B48" s="5" t="s">
        <v>973</v>
      </c>
      <c r="C48" s="5" t="s">
        <v>795</v>
      </c>
      <c r="D48" s="5" t="s">
        <v>974</v>
      </c>
      <c r="E48" s="5" t="n">
        <v>0</v>
      </c>
      <c r="F48" s="5" t="n">
        <v>0</v>
      </c>
      <c r="G48" s="5" t="n">
        <v>0</v>
      </c>
      <c r="H48" s="5" t="n">
        <v>0</v>
      </c>
      <c r="I48" s="5" t="n">
        <v>1</v>
      </c>
      <c r="J48" s="5" t="n">
        <v>0</v>
      </c>
      <c r="K48" s="5" t="n">
        <v>0</v>
      </c>
      <c r="L48" s="5" t="n">
        <v>0</v>
      </c>
      <c r="M48" s="5" t="n">
        <v>0</v>
      </c>
      <c r="N48" s="5" t="n">
        <v>0</v>
      </c>
      <c r="O48" s="5" t="n">
        <v>1</v>
      </c>
      <c r="P48" s="5" t="n">
        <v>0</v>
      </c>
      <c r="Q48" s="5" t="n">
        <v>0</v>
      </c>
      <c r="R48" s="5" t="n">
        <v>0</v>
      </c>
      <c r="S48" s="5" t="n">
        <v>0</v>
      </c>
      <c r="T48" s="5" t="n">
        <v>0</v>
      </c>
    </row>
    <row r="49" customFormat="false" ht="23.85" hidden="false" customHeight="false" outlineLevel="0" collapsed="false">
      <c r="A49" s="5" t="n">
        <v>48</v>
      </c>
      <c r="B49" s="5" t="s">
        <v>976</v>
      </c>
      <c r="C49" s="5" t="s">
        <v>795</v>
      </c>
      <c r="D49" s="5" t="s">
        <v>977</v>
      </c>
      <c r="E49" s="5" t="n">
        <v>0</v>
      </c>
      <c r="F49" s="5" t="n">
        <v>1</v>
      </c>
      <c r="G49" s="5" t="n">
        <v>0</v>
      </c>
      <c r="H49" s="5" t="n">
        <v>0</v>
      </c>
      <c r="I49" s="5" t="n">
        <v>1</v>
      </c>
      <c r="J49" s="5" t="n">
        <v>0</v>
      </c>
      <c r="K49" s="5" t="n">
        <v>0</v>
      </c>
      <c r="L49" s="5" t="n">
        <v>0</v>
      </c>
      <c r="M49" s="5" t="n">
        <v>0</v>
      </c>
      <c r="N49" s="5" t="n">
        <v>0</v>
      </c>
      <c r="O49" s="5" t="n">
        <v>0</v>
      </c>
      <c r="P49" s="5" t="n">
        <v>0</v>
      </c>
      <c r="Q49" s="5" t="n">
        <v>0</v>
      </c>
      <c r="R49" s="5" t="n">
        <v>0</v>
      </c>
      <c r="S49" s="5" t="n">
        <v>0</v>
      </c>
      <c r="T49" s="5" t="n">
        <v>0</v>
      </c>
    </row>
    <row r="50" customFormat="false" ht="23.85" hidden="false" customHeight="false" outlineLevel="0" collapsed="false">
      <c r="A50" s="5" t="n">
        <v>49</v>
      </c>
      <c r="B50" s="5" t="s">
        <v>979</v>
      </c>
      <c r="C50" s="5" t="s">
        <v>795</v>
      </c>
      <c r="D50" s="5" t="s">
        <v>980</v>
      </c>
      <c r="E50" s="5" t="n">
        <v>0</v>
      </c>
      <c r="F50" s="5" t="n">
        <v>1</v>
      </c>
      <c r="G50" s="5" t="n">
        <v>0</v>
      </c>
      <c r="H50" s="5" t="n">
        <v>0</v>
      </c>
      <c r="I50" s="5" t="n">
        <v>0</v>
      </c>
      <c r="J50" s="5" t="n">
        <v>0</v>
      </c>
      <c r="K50" s="5" t="n">
        <v>0</v>
      </c>
      <c r="L50" s="5" t="n">
        <v>1</v>
      </c>
      <c r="M50" s="5" t="n">
        <v>0</v>
      </c>
      <c r="N50" s="5" t="n">
        <v>1</v>
      </c>
      <c r="O50" s="5" t="n">
        <v>0</v>
      </c>
      <c r="P50" s="5" t="n">
        <v>0</v>
      </c>
      <c r="Q50" s="5" t="n">
        <v>0</v>
      </c>
      <c r="R50" s="5" t="n">
        <v>0</v>
      </c>
      <c r="S50" s="5" t="n">
        <v>0</v>
      </c>
      <c r="T50" s="5" t="n">
        <v>0</v>
      </c>
    </row>
    <row r="51" customFormat="false" ht="23.85" hidden="false" customHeight="false" outlineLevel="0" collapsed="false">
      <c r="A51" s="5" t="n">
        <v>50</v>
      </c>
      <c r="B51" s="5" t="s">
        <v>981</v>
      </c>
      <c r="C51" s="5" t="s">
        <v>795</v>
      </c>
      <c r="D51" s="5" t="s">
        <v>982</v>
      </c>
      <c r="E51" s="5" t="n">
        <v>0</v>
      </c>
      <c r="F51" s="5" t="n">
        <v>1</v>
      </c>
      <c r="G51" s="5" t="n">
        <v>1</v>
      </c>
      <c r="H51" s="5" t="n">
        <v>0</v>
      </c>
      <c r="I51" s="5" t="n">
        <v>0</v>
      </c>
      <c r="J51" s="5" t="n">
        <v>0</v>
      </c>
      <c r="K51" s="5" t="n">
        <v>1</v>
      </c>
      <c r="L51" s="5" t="n">
        <v>0</v>
      </c>
      <c r="M51" s="5" t="n">
        <v>0</v>
      </c>
      <c r="N51" s="5" t="n">
        <v>0</v>
      </c>
      <c r="O51" s="5" t="n">
        <v>0</v>
      </c>
      <c r="P51" s="5" t="n">
        <v>0</v>
      </c>
      <c r="Q51" s="5" t="n">
        <v>0</v>
      </c>
      <c r="R51" s="5" t="n">
        <v>0</v>
      </c>
      <c r="S51" s="5" t="n">
        <v>0</v>
      </c>
      <c r="T51" s="5" t="n">
        <v>0</v>
      </c>
    </row>
    <row r="52" customFormat="false" ht="23.85" hidden="false" customHeight="false" outlineLevel="0" collapsed="false">
      <c r="A52" s="5" t="n">
        <v>51</v>
      </c>
      <c r="B52" s="5" t="s">
        <v>983</v>
      </c>
      <c r="C52" s="5" t="s">
        <v>795</v>
      </c>
      <c r="D52" s="5" t="s">
        <v>984</v>
      </c>
      <c r="E52" s="5" t="n">
        <v>0</v>
      </c>
      <c r="F52" s="5" t="n">
        <v>0</v>
      </c>
      <c r="G52" s="5" t="n">
        <v>0</v>
      </c>
      <c r="H52" s="5" t="n">
        <v>0</v>
      </c>
      <c r="I52" s="5" t="n">
        <v>0</v>
      </c>
      <c r="J52" s="5" t="n">
        <v>0</v>
      </c>
      <c r="K52" s="5" t="n">
        <v>0</v>
      </c>
      <c r="L52" s="5" t="n">
        <v>0</v>
      </c>
      <c r="M52" s="5" t="n">
        <v>0</v>
      </c>
      <c r="N52" s="5" t="n">
        <v>1</v>
      </c>
      <c r="O52" s="5" t="n">
        <v>1</v>
      </c>
      <c r="P52" s="5" t="n">
        <v>1</v>
      </c>
      <c r="Q52" s="5" t="n">
        <v>0</v>
      </c>
      <c r="R52" s="5" t="n">
        <v>0</v>
      </c>
      <c r="S52" s="5" t="n">
        <v>0</v>
      </c>
      <c r="T52" s="5" t="n">
        <v>0</v>
      </c>
    </row>
    <row r="53" customFormat="false" ht="23.85" hidden="false" customHeight="false" outlineLevel="0" collapsed="false">
      <c r="A53" s="5" t="n">
        <v>52</v>
      </c>
      <c r="B53" s="5" t="s">
        <v>986</v>
      </c>
      <c r="C53" s="5" t="s">
        <v>795</v>
      </c>
      <c r="D53" s="5" t="s">
        <v>987</v>
      </c>
      <c r="E53" s="5" t="n">
        <v>0</v>
      </c>
      <c r="F53" s="5" t="n">
        <v>1</v>
      </c>
      <c r="G53" s="5" t="n">
        <v>1</v>
      </c>
      <c r="H53" s="5" t="n">
        <v>0</v>
      </c>
      <c r="I53" s="5" t="n">
        <v>0</v>
      </c>
      <c r="J53" s="5" t="n">
        <v>0</v>
      </c>
      <c r="K53" s="5" t="n">
        <v>0</v>
      </c>
      <c r="L53" s="5" t="n">
        <v>1</v>
      </c>
      <c r="M53" s="5" t="n">
        <v>0</v>
      </c>
      <c r="N53" s="5" t="n">
        <v>0</v>
      </c>
      <c r="O53" s="5" t="n">
        <v>0</v>
      </c>
      <c r="P53" s="5" t="n">
        <v>0</v>
      </c>
      <c r="Q53" s="5" t="n">
        <v>0</v>
      </c>
      <c r="R53" s="5" t="n">
        <v>0</v>
      </c>
      <c r="S53" s="5" t="n">
        <v>0</v>
      </c>
      <c r="T53" s="5" t="n">
        <v>0</v>
      </c>
    </row>
    <row r="54" customFormat="false" ht="23.85" hidden="false" customHeight="false" outlineLevel="0" collapsed="false">
      <c r="A54" s="5" t="n">
        <v>53</v>
      </c>
      <c r="B54" s="5" t="s">
        <v>990</v>
      </c>
      <c r="C54" s="5" t="s">
        <v>795</v>
      </c>
      <c r="D54" s="5" t="s">
        <v>991</v>
      </c>
      <c r="E54" s="5" t="n">
        <v>0</v>
      </c>
      <c r="F54" s="5" t="n">
        <v>0</v>
      </c>
      <c r="G54" s="5" t="n">
        <v>1</v>
      </c>
      <c r="H54" s="5" t="n">
        <v>1</v>
      </c>
      <c r="I54" s="5" t="n">
        <v>0</v>
      </c>
      <c r="J54" s="5" t="n">
        <v>0</v>
      </c>
      <c r="K54" s="5" t="n">
        <v>0</v>
      </c>
      <c r="L54" s="5" t="n">
        <v>0</v>
      </c>
      <c r="M54" s="5" t="n">
        <v>0</v>
      </c>
      <c r="N54" s="5" t="n">
        <v>1</v>
      </c>
      <c r="O54" s="5" t="n">
        <v>0</v>
      </c>
      <c r="P54" s="5" t="n">
        <v>0</v>
      </c>
      <c r="Q54" s="5" t="n">
        <v>1</v>
      </c>
      <c r="R54" s="5" t="n">
        <v>0</v>
      </c>
      <c r="S54" s="5" t="n">
        <v>0</v>
      </c>
      <c r="T54" s="5" t="n">
        <v>0</v>
      </c>
    </row>
    <row r="55" customFormat="false" ht="23.85" hidden="false" customHeight="false" outlineLevel="0" collapsed="false">
      <c r="A55" s="5" t="n">
        <v>54</v>
      </c>
      <c r="B55" s="5" t="s">
        <v>993</v>
      </c>
      <c r="C55" s="5" t="s">
        <v>795</v>
      </c>
      <c r="D55" s="5" t="s">
        <v>994</v>
      </c>
      <c r="E55" s="5" t="n">
        <v>1</v>
      </c>
      <c r="F55" s="5" t="n">
        <v>1</v>
      </c>
      <c r="G55" s="5" t="n">
        <v>1</v>
      </c>
      <c r="H55" s="5" t="n">
        <v>0</v>
      </c>
      <c r="I55" s="5" t="n">
        <v>1</v>
      </c>
      <c r="J55" s="5" t="n">
        <v>0</v>
      </c>
      <c r="K55" s="5" t="n">
        <v>0</v>
      </c>
      <c r="L55" s="5" t="n">
        <v>0</v>
      </c>
      <c r="M55" s="5" t="n">
        <v>0</v>
      </c>
      <c r="N55" s="5" t="n">
        <v>1</v>
      </c>
      <c r="O55" s="5" t="n">
        <v>0</v>
      </c>
      <c r="P55" s="5" t="n">
        <v>0</v>
      </c>
      <c r="Q55" s="5" t="n">
        <v>0</v>
      </c>
      <c r="R55" s="5" t="n">
        <v>0</v>
      </c>
      <c r="S55" s="5" t="n">
        <v>0</v>
      </c>
      <c r="T55" s="5" t="n">
        <v>0</v>
      </c>
    </row>
    <row r="56" customFormat="false" ht="23.85" hidden="false" customHeight="false" outlineLevel="0" collapsed="false">
      <c r="A56" s="5" t="n">
        <v>55</v>
      </c>
      <c r="B56" s="5" t="s">
        <v>996</v>
      </c>
      <c r="C56" s="5" t="s">
        <v>795</v>
      </c>
      <c r="D56" s="5" t="s">
        <v>997</v>
      </c>
      <c r="E56" s="5" t="n">
        <v>0</v>
      </c>
      <c r="F56" s="5" t="n">
        <v>0</v>
      </c>
      <c r="G56" s="5" t="n">
        <v>1</v>
      </c>
      <c r="H56" s="5" t="n">
        <v>0</v>
      </c>
      <c r="I56" s="5" t="n">
        <v>0</v>
      </c>
      <c r="J56" s="5" t="n">
        <v>0</v>
      </c>
      <c r="K56" s="5" t="n">
        <v>0</v>
      </c>
      <c r="L56" s="5" t="n">
        <v>0</v>
      </c>
      <c r="M56" s="5" t="n">
        <v>0</v>
      </c>
      <c r="N56" s="5" t="n">
        <v>0</v>
      </c>
      <c r="O56" s="5" t="n">
        <v>0</v>
      </c>
      <c r="P56" s="5" t="n">
        <v>0</v>
      </c>
      <c r="Q56" s="5" t="n">
        <v>1</v>
      </c>
      <c r="R56" s="5" t="n">
        <v>0</v>
      </c>
      <c r="S56" s="5" t="n">
        <v>0</v>
      </c>
      <c r="T56" s="5" t="n">
        <v>0</v>
      </c>
    </row>
    <row r="57" customFormat="false" ht="35.05" hidden="false" customHeight="false" outlineLevel="0" collapsed="false">
      <c r="A57" s="5" t="n">
        <v>56</v>
      </c>
      <c r="B57" s="5" t="s">
        <v>175</v>
      </c>
      <c r="C57" s="5" t="s">
        <v>795</v>
      </c>
      <c r="D57" s="5" t="s">
        <v>998</v>
      </c>
      <c r="E57" s="5" t="n">
        <v>1</v>
      </c>
      <c r="F57" s="5" t="n">
        <v>0</v>
      </c>
      <c r="G57" s="5" t="n">
        <v>1</v>
      </c>
      <c r="H57" s="5" t="n">
        <v>0</v>
      </c>
      <c r="I57" s="5" t="n">
        <v>0</v>
      </c>
      <c r="J57" s="5" t="n">
        <v>0</v>
      </c>
      <c r="K57" s="5" t="n">
        <v>0</v>
      </c>
      <c r="L57" s="5" t="n">
        <v>0</v>
      </c>
      <c r="M57" s="5" t="n">
        <v>0</v>
      </c>
      <c r="N57" s="5" t="n">
        <v>1</v>
      </c>
      <c r="O57" s="5" t="n">
        <v>1</v>
      </c>
      <c r="P57" s="5" t="n">
        <v>0</v>
      </c>
      <c r="Q57" s="5" t="n">
        <v>1</v>
      </c>
      <c r="R57" s="5" t="n">
        <v>0</v>
      </c>
      <c r="S57" s="5" t="n">
        <v>0</v>
      </c>
      <c r="T57" s="5" t="n">
        <v>0</v>
      </c>
    </row>
    <row r="58" customFormat="false" ht="23.85" hidden="false" customHeight="false" outlineLevel="0" collapsed="false">
      <c r="A58" s="5" t="n">
        <v>57</v>
      </c>
      <c r="B58" s="5" t="s">
        <v>177</v>
      </c>
      <c r="C58" s="5" t="s">
        <v>835</v>
      </c>
      <c r="D58" s="5" t="s">
        <v>836</v>
      </c>
      <c r="E58" s="5" t="n">
        <v>1</v>
      </c>
      <c r="F58" s="5" t="n">
        <v>1</v>
      </c>
      <c r="G58" s="5" t="n">
        <v>1</v>
      </c>
      <c r="H58" s="5" t="n">
        <v>0</v>
      </c>
      <c r="I58" s="5" t="n">
        <v>1</v>
      </c>
      <c r="J58" s="5" t="n">
        <v>0</v>
      </c>
      <c r="K58" s="5" t="n">
        <v>0</v>
      </c>
      <c r="L58" s="5" t="n">
        <v>0</v>
      </c>
      <c r="M58" s="5" t="n">
        <v>0</v>
      </c>
      <c r="N58" s="5" t="n">
        <v>1</v>
      </c>
      <c r="O58" s="5" t="n">
        <v>0</v>
      </c>
      <c r="P58" s="5" t="n">
        <v>0</v>
      </c>
      <c r="Q58" s="5" t="n">
        <v>0</v>
      </c>
      <c r="R58" s="5" t="n">
        <v>0</v>
      </c>
      <c r="S58" s="5" t="n">
        <v>0</v>
      </c>
      <c r="T58" s="5" t="n">
        <v>0</v>
      </c>
    </row>
    <row r="59" customFormat="false" ht="23.85" hidden="false" customHeight="false" outlineLevel="0" collapsed="false">
      <c r="A59" s="5" t="n">
        <v>58</v>
      </c>
      <c r="B59" s="5" t="s">
        <v>179</v>
      </c>
      <c r="C59" s="5" t="s">
        <v>795</v>
      </c>
      <c r="D59" s="5" t="s">
        <v>1003</v>
      </c>
      <c r="E59" s="5" t="n">
        <v>1</v>
      </c>
      <c r="F59" s="5" t="n">
        <v>0</v>
      </c>
      <c r="G59" s="5" t="n">
        <v>0</v>
      </c>
      <c r="H59" s="5" t="n">
        <v>0</v>
      </c>
      <c r="I59" s="5" t="n">
        <v>0</v>
      </c>
      <c r="J59" s="5" t="n">
        <v>0</v>
      </c>
      <c r="K59" s="5" t="n">
        <v>0</v>
      </c>
      <c r="L59" s="5" t="n">
        <v>0</v>
      </c>
      <c r="M59" s="5" t="n">
        <v>0</v>
      </c>
      <c r="N59" s="5" t="n">
        <v>0</v>
      </c>
      <c r="O59" s="5" t="n">
        <v>1</v>
      </c>
      <c r="P59" s="5" t="n">
        <v>0</v>
      </c>
      <c r="Q59" s="5" t="n">
        <v>0</v>
      </c>
      <c r="R59" s="5" t="n">
        <v>0</v>
      </c>
      <c r="S59" s="5" t="n">
        <v>0</v>
      </c>
      <c r="T59" s="5" t="n">
        <v>0</v>
      </c>
    </row>
    <row r="60" customFormat="false" ht="15" hidden="false" customHeight="false" outlineLevel="0" collapsed="false">
      <c r="A60" s="1" t="n">
        <v>59</v>
      </c>
      <c r="B60" s="1" t="s">
        <v>181</v>
      </c>
      <c r="C60" s="1" t="s">
        <v>795</v>
      </c>
      <c r="D60" s="1" t="s">
        <v>1007</v>
      </c>
      <c r="E60" s="1" t="n">
        <v>1</v>
      </c>
      <c r="F60" s="1" t="n">
        <v>1</v>
      </c>
      <c r="G60" s="1" t="n">
        <v>0</v>
      </c>
      <c r="H60" s="1" t="n">
        <v>1</v>
      </c>
      <c r="I60" s="1" t="n">
        <v>0</v>
      </c>
      <c r="J60" s="1" t="n">
        <v>0</v>
      </c>
      <c r="K60" s="1" t="n">
        <v>0</v>
      </c>
      <c r="L60" s="1" t="n">
        <v>0</v>
      </c>
      <c r="M60" s="1" t="n">
        <v>0</v>
      </c>
      <c r="N60" s="1" t="n">
        <v>0</v>
      </c>
      <c r="O60" s="1" t="n">
        <v>1</v>
      </c>
      <c r="P60" s="1" t="n">
        <v>1</v>
      </c>
      <c r="Q60" s="1" t="n">
        <v>0</v>
      </c>
      <c r="R60" s="1" t="n">
        <v>0</v>
      </c>
      <c r="S60" s="1" t="n">
        <v>0</v>
      </c>
      <c r="T60" s="1" t="n">
        <v>0</v>
      </c>
    </row>
  </sheetData>
  <conditionalFormatting sqref="E2:T59">
    <cfRule type="expression" priority="2" aboveAverage="0" equalAverage="0" bottom="0" percent="0" rank="0" text="" dxfId="42">
      <formula>E2=1</formula>
    </cfRule>
    <cfRule type="expression" priority="3" aboveAverage="0" equalAverage="0" bottom="0" percent="0" rank="0" text="" dxfId="43">
      <formula>E2=0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6"/>
    <col collapsed="false" customWidth="true" hidden="false" outlineLevel="0" max="4" min="4" style="1" width="30"/>
    <col collapsed="false" customWidth="true" hidden="false" outlineLevel="0" max="5" min="5" style="1" width="16"/>
    <col collapsed="false" customWidth="true" hidden="false" outlineLevel="0" max="7" min="7" style="1" width="30"/>
    <col collapsed="false" customWidth="true" hidden="false" outlineLevel="0" max="8" min="8" style="1" width="16"/>
    <col collapsed="false" customWidth="true" hidden="false" outlineLevel="0" max="10" min="10" style="1" width="30"/>
    <col collapsed="false" customWidth="true" hidden="false" outlineLevel="0" max="11" min="11" style="1" width="16"/>
    <col collapsed="false" customWidth="true" hidden="false" outlineLevel="0" max="13" min="13" style="1" width="30"/>
    <col collapsed="false" customWidth="true" hidden="false" outlineLevel="0" max="14" min="14" style="1" width="16"/>
  </cols>
  <sheetData>
    <row r="1" customFormat="false" ht="15" hidden="false" customHeight="false" outlineLevel="0" collapsed="false">
      <c r="A1" s="6" t="s">
        <v>1779</v>
      </c>
      <c r="B1" s="6" t="s">
        <v>7</v>
      </c>
      <c r="C1" s="5"/>
      <c r="D1" s="6" t="s">
        <v>1461</v>
      </c>
      <c r="E1" s="6" t="s">
        <v>1774</v>
      </c>
      <c r="F1" s="5"/>
      <c r="G1" s="6" t="s">
        <v>1464</v>
      </c>
      <c r="H1" s="6" t="s">
        <v>1774</v>
      </c>
      <c r="I1" s="5"/>
      <c r="J1" s="6" t="s">
        <v>1463</v>
      </c>
      <c r="K1" s="6" t="s">
        <v>1774</v>
      </c>
      <c r="L1" s="5"/>
      <c r="M1" s="6" t="s">
        <v>1793</v>
      </c>
      <c r="N1" s="6" t="s">
        <v>1785</v>
      </c>
    </row>
    <row r="2" customFormat="false" ht="15" hidden="false" customHeight="false" outlineLevel="0" collapsed="false">
      <c r="A2" s="5" t="s">
        <v>795</v>
      </c>
      <c r="B2" s="5" t="n">
        <f aca="false">COUNTIF(Final_Topic_Matrix!$C$2:$C$59,A2)</f>
        <v>50</v>
      </c>
      <c r="C2" s="5"/>
      <c r="D2" s="5" t="n">
        <v>2020</v>
      </c>
      <c r="E2" s="5" t="n">
        <f aca="false">COUNTIFS(Gold_Standard_Register!$C$2:$C$59,D2,Gold_Standard_Register!$F$2:$F$59,"Include")</f>
        <v>1</v>
      </c>
      <c r="F2" s="5"/>
      <c r="G2" s="5" t="s">
        <v>10</v>
      </c>
      <c r="H2" s="5" t="n">
        <f aca="false">SUMIFS(Final_Topic_Matrix!$E$2:$E$59,Final_Topic_Matrix!$C$2:$C$59,"Include")</f>
        <v>21</v>
      </c>
      <c r="I2" s="5"/>
      <c r="J2" s="5" t="s">
        <v>20</v>
      </c>
      <c r="K2" s="5" t="n">
        <f aca="false">SUMIFS(Evaluation_Matrix_V4!$E$2:$E$59,Evaluation_Matrix_V4!$D$2:$D$59,1)</f>
        <v>32</v>
      </c>
      <c r="L2" s="5"/>
      <c r="M2" s="5" t="s">
        <v>1794</v>
      </c>
      <c r="N2" s="5" t="n">
        <v>31</v>
      </c>
    </row>
    <row r="3" customFormat="false" ht="23.85" hidden="false" customHeight="false" outlineLevel="0" collapsed="false">
      <c r="A3" s="5" t="s">
        <v>835</v>
      </c>
      <c r="B3" s="5" t="n">
        <f aca="false">COUNTIF(Final_Topic_Matrix!$C$2:$C$59,A3)</f>
        <v>5</v>
      </c>
      <c r="C3" s="5"/>
      <c r="D3" s="5" t="n">
        <v>2021</v>
      </c>
      <c r="E3" s="5" t="n">
        <f aca="false">COUNTIFS(Gold_Standard_Register!$C$2:$C$59,D3,Gold_Standard_Register!$F$2:$F$59,"Include")</f>
        <v>4</v>
      </c>
      <c r="F3" s="5"/>
      <c r="G3" s="5" t="s">
        <v>12</v>
      </c>
      <c r="H3" s="5" t="n">
        <f aca="false">SUMIFS(Final_Topic_Matrix!$F$2:$F$59,Final_Topic_Matrix!$C$2:$C$59,"Include")</f>
        <v>21</v>
      </c>
      <c r="I3" s="5"/>
      <c r="J3" s="5" t="s">
        <v>19</v>
      </c>
      <c r="K3" s="5" t="n">
        <f aca="false">SUMIFS(Evaluation_Matrix_V4!$F$2:$F$59,Evaluation_Matrix_V4!$D$2:$D$59,1)</f>
        <v>22</v>
      </c>
      <c r="L3" s="5"/>
      <c r="M3" s="5" t="s">
        <v>1795</v>
      </c>
      <c r="N3" s="5" t="n">
        <v>27</v>
      </c>
    </row>
    <row r="4" customFormat="false" ht="15" hidden="false" customHeight="false" outlineLevel="0" collapsed="false">
      <c r="A4" s="5" t="s">
        <v>870</v>
      </c>
      <c r="B4" s="5" t="n">
        <f aca="false">COUNTIF(Final_Topic_Matrix!$C$2:$C$59,A4)</f>
        <v>2</v>
      </c>
      <c r="C4" s="5"/>
      <c r="D4" s="5" t="n">
        <v>2022</v>
      </c>
      <c r="E4" s="5" t="n">
        <f aca="false">COUNTIFS(Gold_Standard_Register!$C$2:$C$59,D4,Gold_Standard_Register!$F$2:$F$59,"Include")</f>
        <v>5</v>
      </c>
      <c r="F4" s="5"/>
      <c r="G4" s="5" t="s">
        <v>11</v>
      </c>
      <c r="H4" s="5" t="n">
        <f aca="false">SUMIFS(Final_Topic_Matrix!$G$2:$G$59,Final_Topic_Matrix!$C$2:$C$59,"Include")</f>
        <v>23</v>
      </c>
      <c r="I4" s="5"/>
      <c r="J4" s="5" t="s">
        <v>22</v>
      </c>
      <c r="K4" s="5" t="n">
        <f aca="false">SUMIFS(Evaluation_Matrix_V4!$G$2:$G$59,Evaluation_Matrix_V4!$D$2:$D$59,1)</f>
        <v>15</v>
      </c>
      <c r="L4" s="5"/>
      <c r="M4" s="5"/>
      <c r="N4" s="5"/>
    </row>
    <row r="5" customFormat="false" ht="15" hidden="false" customHeight="false" outlineLevel="0" collapsed="false">
      <c r="A5" s="5" t="s">
        <v>297</v>
      </c>
      <c r="B5" s="5" t="n">
        <f aca="false">COUNTIF(Final_Topic_Matrix!$C$2:$C$59,A5)</f>
        <v>1</v>
      </c>
      <c r="C5" s="5"/>
      <c r="D5" s="5" t="n">
        <v>2023</v>
      </c>
      <c r="E5" s="5" t="n">
        <f aca="false">COUNTIFS(Gold_Standard_Register!$C$2:$C$59,D5,Gold_Standard_Register!$F$2:$F$59,"Include")</f>
        <v>3</v>
      </c>
      <c r="F5" s="5"/>
      <c r="G5" s="5" t="s">
        <v>17</v>
      </c>
      <c r="H5" s="5" t="n">
        <f aca="false">SUMIFS(Final_Topic_Matrix!$H$2:$H$59,Final_Topic_Matrix!$C$2:$C$59,"Include")</f>
        <v>3</v>
      </c>
      <c r="I5" s="5"/>
      <c r="J5" s="5" t="s">
        <v>21</v>
      </c>
      <c r="K5" s="5" t="n">
        <f aca="false">SUMIFS(Evaluation_Matrix_V4!$H$2:$H$59,Evaluation_Matrix_V4!$D$2:$D$59,1)</f>
        <v>9</v>
      </c>
      <c r="L5" s="5"/>
      <c r="M5" s="5"/>
      <c r="N5" s="5"/>
    </row>
    <row r="6" customFormat="false" ht="15" hidden="false" customHeight="false" outlineLevel="0" collapsed="false">
      <c r="A6" s="5"/>
      <c r="B6" s="5"/>
      <c r="C6" s="5"/>
      <c r="D6" s="5" t="n">
        <v>2024</v>
      </c>
      <c r="E6" s="5" t="n">
        <f aca="false">COUNTIFS(Gold_Standard_Register!$C$2:$C$59,D6,Gold_Standard_Register!$F$2:$F$59,"Include")</f>
        <v>13</v>
      </c>
      <c r="F6" s="5"/>
      <c r="G6" s="5" t="s">
        <v>15</v>
      </c>
      <c r="H6" s="5" t="n">
        <f aca="false">SUMIFS(Final_Topic_Matrix!$I$2:$I$59,Final_Topic_Matrix!$C$2:$C$59,"Include")</f>
        <v>6</v>
      </c>
      <c r="I6" s="5"/>
      <c r="J6" s="5"/>
      <c r="K6" s="5"/>
      <c r="L6" s="5"/>
      <c r="M6" s="5"/>
      <c r="N6" s="5"/>
    </row>
    <row r="7" customFormat="false" ht="15" hidden="false" customHeight="false" outlineLevel="0" collapsed="false">
      <c r="A7" s="5"/>
      <c r="B7" s="5"/>
      <c r="C7" s="5"/>
      <c r="D7" s="5" t="n">
        <v>2025</v>
      </c>
      <c r="E7" s="5" t="n">
        <f aca="false">COUNTIFS(Gold_Standard_Register!$C$2:$C$59,D7,Gold_Standard_Register!$F$2:$F$59,"Include")</f>
        <v>16</v>
      </c>
      <c r="F7" s="5"/>
      <c r="G7" s="5" t="s">
        <v>16</v>
      </c>
      <c r="H7" s="5" t="n">
        <f aca="false">SUMIFS(Final_Topic_Matrix!$J$2:$J$59,Final_Topic_Matrix!$C$2:$C$59,"Include")</f>
        <v>3</v>
      </c>
      <c r="I7" s="5"/>
      <c r="J7" s="5"/>
      <c r="K7" s="5"/>
      <c r="L7" s="5"/>
      <c r="M7" s="5"/>
      <c r="N7" s="5"/>
    </row>
    <row r="8" customFormat="false" ht="15" hidden="false" customHeight="false" outlineLevel="0" collapsed="false">
      <c r="A8" s="5"/>
      <c r="B8" s="5"/>
      <c r="C8" s="5"/>
      <c r="D8" s="5" t="n">
        <v>2026</v>
      </c>
      <c r="E8" s="5" t="n">
        <f aca="false">COUNTIFS(Gold_Standard_Register!$C$2:$C$59,D8,Gold_Standard_Register!$F$2:$F$59,"Include")</f>
        <v>8</v>
      </c>
      <c r="F8" s="5"/>
      <c r="G8" s="5" t="s">
        <v>1023</v>
      </c>
      <c r="H8" s="5" t="n">
        <f aca="false">SUMIFS(Final_Topic_Matrix!$K$2:$K$59,Final_Topic_Matrix!$C$2:$C$59,"Include")</f>
        <v>8</v>
      </c>
      <c r="I8" s="5"/>
      <c r="J8" s="5"/>
      <c r="K8" s="5"/>
      <c r="L8" s="5"/>
      <c r="M8" s="5"/>
      <c r="N8" s="5"/>
    </row>
    <row r="9" customFormat="false" ht="15" hidden="false" customHeight="false" outlineLevel="0" collapsed="false">
      <c r="A9" s="5"/>
      <c r="B9" s="5"/>
      <c r="C9" s="5"/>
      <c r="D9" s="5"/>
      <c r="E9" s="5"/>
      <c r="F9" s="5"/>
      <c r="G9" s="5" t="s">
        <v>1681</v>
      </c>
      <c r="H9" s="5" t="n">
        <f aca="false">SUMIFS(Final_Topic_Matrix!$L$2:$L$59,Final_Topic_Matrix!$C$2:$C$59,"Include")</f>
        <v>2</v>
      </c>
      <c r="I9" s="5"/>
      <c r="J9" s="5"/>
      <c r="K9" s="5"/>
      <c r="L9" s="5"/>
      <c r="M9" s="5"/>
      <c r="N9" s="5"/>
    </row>
    <row r="10" customFormat="false" ht="15" hidden="false" customHeight="false" outlineLevel="0" collapsed="false">
      <c r="A10" s="5"/>
      <c r="B10" s="5"/>
      <c r="C10" s="5"/>
      <c r="D10" s="5"/>
      <c r="E10" s="5"/>
      <c r="F10" s="5"/>
      <c r="G10" s="5" t="s">
        <v>1025</v>
      </c>
      <c r="H10" s="5" t="n">
        <f aca="false">SUMIFS(Final_Topic_Matrix!$M$2:$M$59,Final_Topic_Matrix!$C$2:$C$59,"Include")</f>
        <v>2</v>
      </c>
      <c r="I10" s="5"/>
      <c r="J10" s="5"/>
      <c r="K10" s="5"/>
      <c r="L10" s="5"/>
      <c r="M10" s="5"/>
      <c r="N10" s="5"/>
    </row>
    <row r="11" customFormat="false" ht="15" hidden="false" customHeight="false" outlineLevel="0" collapsed="false">
      <c r="A11" s="5"/>
      <c r="B11" s="5"/>
      <c r="C11" s="5"/>
      <c r="D11" s="5"/>
      <c r="E11" s="5"/>
      <c r="F11" s="5"/>
      <c r="G11" s="5" t="s">
        <v>836</v>
      </c>
      <c r="H11" s="5" t="n">
        <f aca="false">SUMIFS(Final_Topic_Matrix!$N$2:$N$59,Final_Topic_Matrix!$C$2:$C$59,"Include")</f>
        <v>13</v>
      </c>
      <c r="I11" s="5"/>
      <c r="J11" s="5"/>
      <c r="K11" s="5"/>
      <c r="L11" s="5"/>
      <c r="M11" s="5"/>
      <c r="N11" s="5"/>
    </row>
    <row r="12" customFormat="false" ht="15" hidden="false" customHeight="false" outlineLevel="0" collapsed="false">
      <c r="A12" s="5"/>
      <c r="B12" s="5"/>
      <c r="C12" s="5"/>
      <c r="D12" s="5"/>
      <c r="E12" s="5"/>
      <c r="F12" s="5"/>
      <c r="G12" s="5" t="s">
        <v>1790</v>
      </c>
      <c r="H12" s="5" t="n">
        <f aca="false">SUMIFS(Final_Topic_Matrix!$O$2:$O$59,Final_Topic_Matrix!$C$2:$C$59,"Include")</f>
        <v>17</v>
      </c>
      <c r="I12" s="5"/>
      <c r="J12" s="5"/>
      <c r="K12" s="5"/>
      <c r="L12" s="5"/>
      <c r="M12" s="5"/>
      <c r="N12" s="5"/>
    </row>
    <row r="13" customFormat="false" ht="15" hidden="false" customHeight="false" outlineLevel="0" collapsed="false">
      <c r="A13" s="5"/>
      <c r="B13" s="5"/>
      <c r="C13" s="5"/>
      <c r="D13" s="5"/>
      <c r="E13" s="5"/>
      <c r="F13" s="5"/>
      <c r="G13" s="5" t="s">
        <v>1020</v>
      </c>
      <c r="H13" s="5" t="n">
        <f aca="false">SUMIFS(Final_Topic_Matrix!$P$2:$P$59,Final_Topic_Matrix!$C$2:$C$59,"Include")</f>
        <v>8</v>
      </c>
      <c r="I13" s="5"/>
      <c r="J13" s="5"/>
      <c r="K13" s="5"/>
      <c r="L13" s="5"/>
      <c r="M13" s="5"/>
      <c r="N13" s="5"/>
    </row>
    <row r="14" customFormat="false" ht="15" hidden="false" customHeight="false" outlineLevel="0" collapsed="false">
      <c r="A14" s="5"/>
      <c r="B14" s="5"/>
      <c r="C14" s="5"/>
      <c r="D14" s="5"/>
      <c r="E14" s="5"/>
      <c r="F14" s="5"/>
      <c r="G14" s="5" t="s">
        <v>1021</v>
      </c>
      <c r="H14" s="5" t="n">
        <f aca="false">SUMIFS(Final_Topic_Matrix!$Q$2:$Q$59,Final_Topic_Matrix!$C$2:$C$59,"Include")</f>
        <v>5</v>
      </c>
      <c r="I14" s="5"/>
      <c r="J14" s="5"/>
      <c r="K14" s="5"/>
      <c r="L14" s="5"/>
      <c r="M14" s="5"/>
      <c r="N14" s="5"/>
    </row>
    <row r="15" customFormat="false" ht="15" hidden="false" customHeight="false" outlineLevel="0" collapsed="false">
      <c r="A15" s="5"/>
      <c r="B15" s="5"/>
      <c r="C15" s="5"/>
      <c r="D15" s="5"/>
      <c r="E15" s="5"/>
      <c r="F15" s="5"/>
      <c r="G15" s="5" t="s">
        <v>1684</v>
      </c>
      <c r="H15" s="5" t="n">
        <f aca="false">SUMIFS(Final_Topic_Matrix!$R$2:$R$59,Final_Topic_Matrix!$C$2:$C$59,"Include")</f>
        <v>3</v>
      </c>
      <c r="I15" s="5"/>
      <c r="J15" s="5"/>
      <c r="K15" s="5"/>
      <c r="L15" s="5"/>
      <c r="M15" s="5"/>
      <c r="N15" s="5"/>
    </row>
    <row r="16" customFormat="false" ht="15" hidden="false" customHeight="false" outlineLevel="0" collapsed="false">
      <c r="A16" s="5"/>
      <c r="B16" s="5"/>
      <c r="C16" s="5"/>
      <c r="D16" s="5"/>
      <c r="E16" s="5"/>
      <c r="F16" s="5"/>
      <c r="G16" s="5" t="s">
        <v>1791</v>
      </c>
      <c r="H16" s="5" t="n">
        <f aca="false">SUMIFS(Final_Topic_Matrix!$S$2:$S$59,Final_Topic_Matrix!$C$2:$C$59,"Include")</f>
        <v>1</v>
      </c>
      <c r="I16" s="5"/>
      <c r="J16" s="5"/>
      <c r="K16" s="5"/>
      <c r="L16" s="5"/>
      <c r="M16" s="5"/>
      <c r="N16" s="5"/>
    </row>
    <row r="17" customFormat="false" ht="15" hidden="false" customHeight="false" outlineLevel="0" collapsed="false">
      <c r="A17" s="5"/>
      <c r="B17" s="5"/>
      <c r="C17" s="5"/>
      <c r="D17" s="5"/>
      <c r="E17" s="5"/>
      <c r="F17" s="5"/>
      <c r="G17" s="5" t="s">
        <v>1792</v>
      </c>
      <c r="H17" s="5" t="n">
        <f aca="false">SUMIFS(Final_Topic_Matrix!$T$2:$T$59,Final_Topic_Matrix!$C$2:$C$59,"Include")</f>
        <v>2</v>
      </c>
      <c r="I17" s="5"/>
      <c r="J17" s="5"/>
      <c r="K17" s="5"/>
      <c r="L17" s="5"/>
      <c r="M17" s="5"/>
      <c r="N17" s="5"/>
    </row>
    <row r="18" customFormat="false" ht="15" hidden="false" customHeight="false" outlineLevel="0" collapsed="false">
      <c r="A18" s="5"/>
      <c r="B18" s="5"/>
      <c r="C18" s="5"/>
      <c r="D18" s="5"/>
      <c r="E18" s="5"/>
      <c r="F18" s="5"/>
      <c r="G18" s="5"/>
      <c r="H18" s="5"/>
      <c r="I18" s="5"/>
      <c r="J18" s="5"/>
      <c r="K18" s="5"/>
      <c r="L18" s="5"/>
      <c r="M18" s="5"/>
      <c r="N18" s="5"/>
    </row>
    <row r="19" customFormat="false" ht="15" hidden="false" customHeight="false" outlineLevel="0" collapsed="false">
      <c r="A19" s="5"/>
      <c r="B19" s="5"/>
      <c r="C19" s="5"/>
      <c r="D19" s="5"/>
      <c r="E19" s="5"/>
      <c r="F19" s="5"/>
      <c r="G19" s="5"/>
      <c r="H19" s="5"/>
      <c r="I19" s="5"/>
      <c r="J19" s="5"/>
      <c r="K19" s="5"/>
      <c r="L19" s="5"/>
      <c r="M19" s="5"/>
      <c r="N19" s="5"/>
    </row>
    <row r="20" customFormat="false" ht="15" hidden="false" customHeight="false" outlineLevel="0" collapsed="false">
      <c r="A20" s="5"/>
      <c r="B20" s="5"/>
      <c r="C20" s="5"/>
      <c r="D20" s="5"/>
      <c r="E20" s="5"/>
      <c r="F20" s="5"/>
      <c r="G20" s="5"/>
      <c r="H20" s="5"/>
      <c r="I20" s="5"/>
      <c r="J20" s="5"/>
      <c r="K20" s="5"/>
      <c r="L20" s="5"/>
      <c r="M20" s="5"/>
      <c r="N20" s="5"/>
    </row>
    <row r="21" customFormat="false" ht="15" hidden="false" customHeight="false" outlineLevel="0" collapsed="false">
      <c r="A21" s="5"/>
      <c r="B21" s="5"/>
      <c r="C21" s="5"/>
      <c r="D21" s="5"/>
      <c r="E21" s="5"/>
      <c r="F21" s="5"/>
      <c r="G21" s="5"/>
      <c r="H21" s="5"/>
      <c r="I21" s="5"/>
      <c r="J21" s="5"/>
      <c r="K21" s="5"/>
      <c r="L21" s="5"/>
      <c r="M21" s="5"/>
      <c r="N21" s="5"/>
    </row>
    <row r="22" customFormat="false" ht="15" hidden="false" customHeight="false" outlineLevel="0" collapsed="false">
      <c r="A22" s="5"/>
      <c r="B22" s="5"/>
      <c r="C22" s="5"/>
      <c r="D22" s="5"/>
      <c r="E22" s="5"/>
      <c r="F22" s="5"/>
      <c r="G22" s="5"/>
      <c r="H22" s="5"/>
      <c r="I22" s="5"/>
      <c r="J22" s="5"/>
      <c r="K22" s="5"/>
      <c r="L22" s="5"/>
      <c r="M22" s="5"/>
      <c r="N22" s="5"/>
    </row>
    <row r="23" customFormat="false" ht="15" hidden="false" customHeight="false" outlineLevel="0" collapsed="false">
      <c r="A23" s="5"/>
      <c r="B23" s="5"/>
      <c r="C23" s="5"/>
      <c r="D23" s="5"/>
      <c r="E23" s="5"/>
      <c r="F23" s="5"/>
      <c r="G23" s="5"/>
      <c r="H23" s="5"/>
      <c r="I23" s="5"/>
      <c r="J23" s="5"/>
      <c r="K23" s="5"/>
      <c r="L23" s="5"/>
      <c r="M23" s="5"/>
      <c r="N23" s="5"/>
    </row>
    <row r="24" customFormat="false" ht="15" hidden="false" customHeight="false" outlineLevel="0" collapsed="false">
      <c r="A24" s="5"/>
      <c r="B24" s="5"/>
      <c r="C24" s="5"/>
      <c r="D24" s="5"/>
      <c r="E24" s="5"/>
      <c r="F24" s="5"/>
      <c r="G24" s="5"/>
      <c r="H24" s="5"/>
      <c r="I24" s="5"/>
      <c r="J24" s="5"/>
      <c r="K24" s="5"/>
      <c r="L24" s="5"/>
      <c r="M24" s="5"/>
      <c r="N24" s="5"/>
    </row>
    <row r="25" customFormat="false" ht="15" hidden="false" customHeight="false" outlineLevel="0" collapsed="false">
      <c r="A25" s="5"/>
      <c r="B25" s="5"/>
      <c r="C25" s="5"/>
      <c r="D25" s="5"/>
      <c r="E25" s="5"/>
      <c r="F25" s="5"/>
      <c r="G25" s="5"/>
      <c r="H25" s="5"/>
      <c r="I25" s="5"/>
      <c r="J25" s="5"/>
      <c r="K25" s="5"/>
      <c r="L25" s="5"/>
      <c r="M25" s="5"/>
      <c r="N25"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8"/>
    <col collapsed="false" customWidth="true" hidden="false" outlineLevel="0" max="3" min="3" style="1" width="14"/>
    <col collapsed="false" customWidth="true" hidden="false" outlineLevel="0" max="4" min="4" style="1" width="42"/>
    <col collapsed="false" customWidth="true" hidden="false" outlineLevel="0" max="6" min="5" style="1" width="18"/>
    <col collapsed="false" customWidth="true" hidden="false" outlineLevel="0" max="7" min="7" style="1" width="16"/>
    <col collapsed="false" customWidth="true" hidden="false" outlineLevel="0" max="9" min="8" style="1" width="24"/>
    <col collapsed="false" customWidth="true" hidden="false" outlineLevel="0" max="10" min="10" style="1" width="30"/>
  </cols>
  <sheetData>
    <row r="1" customFormat="false" ht="36" hidden="false" customHeight="true" outlineLevel="0" collapsed="false">
      <c r="A1" s="15" t="s">
        <v>805</v>
      </c>
      <c r="B1" s="15" t="s">
        <v>1012</v>
      </c>
      <c r="C1" s="15" t="s">
        <v>1724</v>
      </c>
      <c r="D1" s="15" t="s">
        <v>1793</v>
      </c>
      <c r="E1" s="15" t="s">
        <v>1796</v>
      </c>
      <c r="F1" s="15" t="s">
        <v>1797</v>
      </c>
      <c r="G1" s="15" t="s">
        <v>1798</v>
      </c>
      <c r="H1" s="15" t="s">
        <v>1799</v>
      </c>
      <c r="I1" s="15" t="s">
        <v>1800</v>
      </c>
      <c r="J1" s="15" t="s">
        <v>1801</v>
      </c>
    </row>
    <row r="2" customFormat="false" ht="23.85" hidden="false" customHeight="false" outlineLevel="0" collapsed="false">
      <c r="A2" s="5" t="n">
        <v>1</v>
      </c>
      <c r="B2" s="5" t="s">
        <v>819</v>
      </c>
      <c r="C2" s="5" t="s">
        <v>795</v>
      </c>
      <c r="D2" s="5" t="s">
        <v>1802</v>
      </c>
      <c r="E2" s="5" t="s">
        <v>8</v>
      </c>
      <c r="F2" s="5" t="s">
        <v>8</v>
      </c>
      <c r="G2" s="5" t="s">
        <v>8</v>
      </c>
      <c r="H2" s="5" t="s">
        <v>8</v>
      </c>
      <c r="I2" s="5" t="s">
        <v>1499</v>
      </c>
      <c r="J2" s="5" t="s">
        <v>1803</v>
      </c>
    </row>
    <row r="3" customFormat="false" ht="23.85" hidden="false" customHeight="false" outlineLevel="0" collapsed="false">
      <c r="A3" s="5" t="n">
        <v>2</v>
      </c>
      <c r="B3" s="5" t="s">
        <v>824</v>
      </c>
      <c r="C3" s="5" t="s">
        <v>795</v>
      </c>
      <c r="D3" s="5" t="s">
        <v>1804</v>
      </c>
      <c r="E3" s="5" t="s">
        <v>8</v>
      </c>
      <c r="F3" s="5" t="s">
        <v>8</v>
      </c>
      <c r="G3" s="5" t="s">
        <v>8</v>
      </c>
      <c r="H3" s="5" t="s">
        <v>8</v>
      </c>
      <c r="I3" s="5" t="s">
        <v>1499</v>
      </c>
      <c r="J3" s="5" t="s">
        <v>1803</v>
      </c>
    </row>
    <row r="4" customFormat="false" ht="23.85" hidden="false" customHeight="false" outlineLevel="0" collapsed="false">
      <c r="A4" s="5" t="n">
        <v>3</v>
      </c>
      <c r="B4" s="5" t="s">
        <v>828</v>
      </c>
      <c r="C4" s="5" t="s">
        <v>795</v>
      </c>
      <c r="D4" s="5" t="s">
        <v>1802</v>
      </c>
      <c r="E4" s="5" t="s">
        <v>8</v>
      </c>
      <c r="F4" s="5" t="s">
        <v>8</v>
      </c>
      <c r="G4" s="5" t="s">
        <v>8</v>
      </c>
      <c r="H4" s="5" t="s">
        <v>8</v>
      </c>
      <c r="I4" s="5" t="s">
        <v>1499</v>
      </c>
      <c r="J4" s="5" t="s">
        <v>1803</v>
      </c>
    </row>
    <row r="5" customFormat="false" ht="23.85" hidden="false" customHeight="false" outlineLevel="0" collapsed="false">
      <c r="A5" s="5" t="n">
        <v>4</v>
      </c>
      <c r="B5" s="5" t="s">
        <v>58</v>
      </c>
      <c r="C5" s="5" t="s">
        <v>795</v>
      </c>
      <c r="D5" s="5" t="s">
        <v>1802</v>
      </c>
      <c r="E5" s="5" t="s">
        <v>8</v>
      </c>
      <c r="F5" s="5" t="s">
        <v>8</v>
      </c>
      <c r="G5" s="5" t="s">
        <v>8</v>
      </c>
      <c r="H5" s="5" t="s">
        <v>8</v>
      </c>
      <c r="I5" s="5" t="s">
        <v>1499</v>
      </c>
      <c r="J5" s="5" t="s">
        <v>1803</v>
      </c>
    </row>
    <row r="6" customFormat="false" ht="23.85" hidden="false" customHeight="false" outlineLevel="0" collapsed="false">
      <c r="A6" s="5" t="n">
        <v>5</v>
      </c>
      <c r="B6" s="5" t="s">
        <v>62</v>
      </c>
      <c r="C6" s="5" t="s">
        <v>835</v>
      </c>
      <c r="D6" s="5" t="s">
        <v>1804</v>
      </c>
      <c r="E6" s="5" t="s">
        <v>8</v>
      </c>
      <c r="F6" s="5" t="s">
        <v>8</v>
      </c>
      <c r="G6" s="5" t="s">
        <v>8</v>
      </c>
      <c r="H6" s="5" t="s">
        <v>8</v>
      </c>
      <c r="I6" s="5" t="s">
        <v>1499</v>
      </c>
      <c r="J6" s="5" t="s">
        <v>1733</v>
      </c>
    </row>
    <row r="7" customFormat="false" ht="23.85" hidden="false" customHeight="false" outlineLevel="0" collapsed="false">
      <c r="A7" s="5" t="n">
        <v>6</v>
      </c>
      <c r="B7" s="5" t="s">
        <v>839</v>
      </c>
      <c r="C7" s="5" t="s">
        <v>835</v>
      </c>
      <c r="D7" s="5" t="s">
        <v>1804</v>
      </c>
      <c r="E7" s="5" t="s">
        <v>8</v>
      </c>
      <c r="F7" s="5" t="s">
        <v>8</v>
      </c>
      <c r="G7" s="5" t="s">
        <v>8</v>
      </c>
      <c r="H7" s="5" t="s">
        <v>8</v>
      </c>
      <c r="I7" s="5" t="s">
        <v>1499</v>
      </c>
      <c r="J7" s="5" t="s">
        <v>1733</v>
      </c>
    </row>
    <row r="8" customFormat="false" ht="23.85" hidden="false" customHeight="false" outlineLevel="0" collapsed="false">
      <c r="A8" s="5" t="n">
        <v>7</v>
      </c>
      <c r="B8" s="5" t="s">
        <v>842</v>
      </c>
      <c r="C8" s="5" t="s">
        <v>795</v>
      </c>
      <c r="D8" s="5" t="s">
        <v>1802</v>
      </c>
      <c r="E8" s="5" t="s">
        <v>8</v>
      </c>
      <c r="F8" s="5" t="s">
        <v>8</v>
      </c>
      <c r="G8" s="5" t="s">
        <v>8</v>
      </c>
      <c r="H8" s="5" t="s">
        <v>8</v>
      </c>
      <c r="I8" s="5" t="s">
        <v>1499</v>
      </c>
      <c r="J8" s="5" t="s">
        <v>1803</v>
      </c>
    </row>
    <row r="9" customFormat="false" ht="23.85" hidden="false" customHeight="false" outlineLevel="0" collapsed="false">
      <c r="A9" s="5" t="n">
        <v>8</v>
      </c>
      <c r="B9" s="5" t="s">
        <v>847</v>
      </c>
      <c r="C9" s="5" t="s">
        <v>795</v>
      </c>
      <c r="D9" s="5" t="s">
        <v>1802</v>
      </c>
      <c r="E9" s="5" t="s">
        <v>8</v>
      </c>
      <c r="F9" s="5" t="s">
        <v>8</v>
      </c>
      <c r="G9" s="5" t="s">
        <v>8</v>
      </c>
      <c r="H9" s="5" t="s">
        <v>8</v>
      </c>
      <c r="I9" s="5" t="s">
        <v>1499</v>
      </c>
      <c r="J9" s="5" t="s">
        <v>1803</v>
      </c>
    </row>
    <row r="10" customFormat="false" ht="23.85" hidden="false" customHeight="false" outlineLevel="0" collapsed="false">
      <c r="A10" s="5" t="n">
        <v>9</v>
      </c>
      <c r="B10" s="5" t="s">
        <v>852</v>
      </c>
      <c r="C10" s="5" t="s">
        <v>795</v>
      </c>
      <c r="D10" s="5" t="s">
        <v>1804</v>
      </c>
      <c r="E10" s="5" t="s">
        <v>8</v>
      </c>
      <c r="F10" s="5" t="s">
        <v>8</v>
      </c>
      <c r="G10" s="5" t="s">
        <v>8</v>
      </c>
      <c r="H10" s="5" t="s">
        <v>8</v>
      </c>
      <c r="I10" s="5" t="s">
        <v>1499</v>
      </c>
      <c r="J10" s="5" t="s">
        <v>1803</v>
      </c>
    </row>
    <row r="11" customFormat="false" ht="23.85" hidden="false" customHeight="false" outlineLevel="0" collapsed="false">
      <c r="A11" s="5" t="n">
        <v>10</v>
      </c>
      <c r="B11" s="5" t="s">
        <v>852</v>
      </c>
      <c r="C11" s="5" t="s">
        <v>297</v>
      </c>
      <c r="D11" s="5" t="s">
        <v>1804</v>
      </c>
      <c r="E11" s="5" t="s">
        <v>8</v>
      </c>
      <c r="F11" s="5" t="s">
        <v>8</v>
      </c>
      <c r="G11" s="5" t="s">
        <v>8</v>
      </c>
      <c r="H11" s="5" t="s">
        <v>8</v>
      </c>
      <c r="I11" s="5" t="s">
        <v>1499</v>
      </c>
      <c r="J11" s="5" t="s">
        <v>1805</v>
      </c>
    </row>
    <row r="12" customFormat="false" ht="23.85" hidden="false" customHeight="false" outlineLevel="0" collapsed="false">
      <c r="A12" s="5" t="n">
        <v>11</v>
      </c>
      <c r="B12" s="5" t="s">
        <v>854</v>
      </c>
      <c r="C12" s="5" t="s">
        <v>795</v>
      </c>
      <c r="D12" s="5" t="s">
        <v>1802</v>
      </c>
      <c r="E12" s="5" t="s">
        <v>8</v>
      </c>
      <c r="F12" s="5" t="s">
        <v>8</v>
      </c>
      <c r="G12" s="5" t="s">
        <v>8</v>
      </c>
      <c r="H12" s="5" t="s">
        <v>8</v>
      </c>
      <c r="I12" s="5" t="s">
        <v>1499</v>
      </c>
      <c r="J12" s="5" t="s">
        <v>1803</v>
      </c>
    </row>
    <row r="13" customFormat="false" ht="23.85" hidden="false" customHeight="false" outlineLevel="0" collapsed="false">
      <c r="A13" s="5" t="n">
        <v>12</v>
      </c>
      <c r="B13" s="5" t="s">
        <v>857</v>
      </c>
      <c r="C13" s="5" t="s">
        <v>795</v>
      </c>
      <c r="D13" s="5" t="s">
        <v>1804</v>
      </c>
      <c r="E13" s="5" t="s">
        <v>8</v>
      </c>
      <c r="F13" s="5" t="s">
        <v>8</v>
      </c>
      <c r="G13" s="5" t="s">
        <v>8</v>
      </c>
      <c r="H13" s="5" t="s">
        <v>8</v>
      </c>
      <c r="I13" s="5" t="s">
        <v>1499</v>
      </c>
      <c r="J13" s="5" t="s">
        <v>1803</v>
      </c>
    </row>
    <row r="14" customFormat="false" ht="23.85" hidden="false" customHeight="false" outlineLevel="0" collapsed="false">
      <c r="A14" s="5" t="n">
        <v>13</v>
      </c>
      <c r="B14" s="5" t="s">
        <v>860</v>
      </c>
      <c r="C14" s="5" t="s">
        <v>795</v>
      </c>
      <c r="D14" s="5" t="s">
        <v>1802</v>
      </c>
      <c r="E14" s="5" t="s">
        <v>8</v>
      </c>
      <c r="F14" s="5" t="s">
        <v>8</v>
      </c>
      <c r="G14" s="5" t="s">
        <v>8</v>
      </c>
      <c r="H14" s="5" t="s">
        <v>8</v>
      </c>
      <c r="I14" s="5" t="s">
        <v>1499</v>
      </c>
      <c r="J14" s="5" t="s">
        <v>1803</v>
      </c>
    </row>
    <row r="15" customFormat="false" ht="23.85" hidden="false" customHeight="false" outlineLevel="0" collapsed="false">
      <c r="A15" s="5" t="n">
        <v>14</v>
      </c>
      <c r="B15" s="5" t="s">
        <v>864</v>
      </c>
      <c r="C15" s="5" t="s">
        <v>795</v>
      </c>
      <c r="D15" s="5" t="s">
        <v>1802</v>
      </c>
      <c r="E15" s="5" t="s">
        <v>8</v>
      </c>
      <c r="F15" s="5" t="s">
        <v>8</v>
      </c>
      <c r="G15" s="5" t="s">
        <v>8</v>
      </c>
      <c r="H15" s="5" t="s">
        <v>8</v>
      </c>
      <c r="I15" s="5" t="s">
        <v>1499</v>
      </c>
      <c r="J15" s="5" t="s">
        <v>1803</v>
      </c>
    </row>
    <row r="16" customFormat="false" ht="23.85" hidden="false" customHeight="false" outlineLevel="0" collapsed="false">
      <c r="A16" s="5" t="n">
        <v>15</v>
      </c>
      <c r="B16" s="5" t="s">
        <v>88</v>
      </c>
      <c r="C16" s="5" t="s">
        <v>795</v>
      </c>
      <c r="D16" s="5" t="s">
        <v>1802</v>
      </c>
      <c r="E16" s="5" t="s">
        <v>8</v>
      </c>
      <c r="F16" s="5" t="s">
        <v>8</v>
      </c>
      <c r="G16" s="5" t="s">
        <v>8</v>
      </c>
      <c r="H16" s="5" t="s">
        <v>8</v>
      </c>
      <c r="I16" s="5" t="s">
        <v>1499</v>
      </c>
      <c r="J16" s="5" t="s">
        <v>1803</v>
      </c>
    </row>
    <row r="17" customFormat="false" ht="23.85" hidden="false" customHeight="false" outlineLevel="0" collapsed="false">
      <c r="A17" s="5" t="n">
        <v>16</v>
      </c>
      <c r="B17" s="5" t="s">
        <v>869</v>
      </c>
      <c r="C17" s="5" t="s">
        <v>870</v>
      </c>
      <c r="D17" s="5" t="s">
        <v>1804</v>
      </c>
      <c r="E17" s="5" t="s">
        <v>8</v>
      </c>
      <c r="F17" s="5" t="s">
        <v>8</v>
      </c>
      <c r="G17" s="5" t="s">
        <v>8</v>
      </c>
      <c r="H17" s="5" t="s">
        <v>8</v>
      </c>
      <c r="I17" s="5" t="s">
        <v>1499</v>
      </c>
      <c r="J17" s="5" t="s">
        <v>1805</v>
      </c>
    </row>
    <row r="18" customFormat="false" ht="23.85" hidden="false" customHeight="false" outlineLevel="0" collapsed="false">
      <c r="A18" s="5" t="n">
        <v>17</v>
      </c>
      <c r="B18" s="5" t="s">
        <v>94</v>
      </c>
      <c r="C18" s="5" t="s">
        <v>795</v>
      </c>
      <c r="D18" s="5" t="s">
        <v>1802</v>
      </c>
      <c r="E18" s="5" t="s">
        <v>8</v>
      </c>
      <c r="F18" s="5" t="s">
        <v>8</v>
      </c>
      <c r="G18" s="5" t="s">
        <v>8</v>
      </c>
      <c r="H18" s="5" t="s">
        <v>8</v>
      </c>
      <c r="I18" s="5" t="s">
        <v>1499</v>
      </c>
      <c r="J18" s="5" t="s">
        <v>1803</v>
      </c>
    </row>
    <row r="19" customFormat="false" ht="23.85" hidden="false" customHeight="false" outlineLevel="0" collapsed="false">
      <c r="A19" s="5" t="n">
        <v>18</v>
      </c>
      <c r="B19" s="5" t="s">
        <v>877</v>
      </c>
      <c r="C19" s="5" t="s">
        <v>795</v>
      </c>
      <c r="D19" s="5" t="s">
        <v>1802</v>
      </c>
      <c r="E19" s="5" t="s">
        <v>8</v>
      </c>
      <c r="F19" s="5" t="s">
        <v>8</v>
      </c>
      <c r="G19" s="5" t="s">
        <v>8</v>
      </c>
      <c r="H19" s="5" t="s">
        <v>8</v>
      </c>
      <c r="I19" s="5" t="s">
        <v>1499</v>
      </c>
      <c r="J19" s="5" t="s">
        <v>1803</v>
      </c>
    </row>
    <row r="20" customFormat="false" ht="23.85" hidden="false" customHeight="false" outlineLevel="0" collapsed="false">
      <c r="A20" s="5" t="n">
        <v>19</v>
      </c>
      <c r="B20" s="5" t="s">
        <v>882</v>
      </c>
      <c r="C20" s="5" t="s">
        <v>795</v>
      </c>
      <c r="D20" s="5" t="s">
        <v>1802</v>
      </c>
      <c r="E20" s="5" t="s">
        <v>8</v>
      </c>
      <c r="F20" s="5" t="s">
        <v>8</v>
      </c>
      <c r="G20" s="5" t="s">
        <v>8</v>
      </c>
      <c r="H20" s="5" t="s">
        <v>8</v>
      </c>
      <c r="I20" s="5" t="s">
        <v>1499</v>
      </c>
      <c r="J20" s="5" t="s">
        <v>1803</v>
      </c>
    </row>
    <row r="21" customFormat="false" ht="23.85" hidden="false" customHeight="false" outlineLevel="0" collapsed="false">
      <c r="A21" s="5" t="n">
        <v>20</v>
      </c>
      <c r="B21" s="5" t="s">
        <v>885</v>
      </c>
      <c r="C21" s="5" t="s">
        <v>795</v>
      </c>
      <c r="D21" s="5" t="s">
        <v>1802</v>
      </c>
      <c r="E21" s="5" t="s">
        <v>8</v>
      </c>
      <c r="F21" s="5" t="s">
        <v>8</v>
      </c>
      <c r="G21" s="5" t="s">
        <v>8</v>
      </c>
      <c r="H21" s="5" t="s">
        <v>8</v>
      </c>
      <c r="I21" s="5" t="s">
        <v>1499</v>
      </c>
      <c r="J21" s="5" t="s">
        <v>1803</v>
      </c>
    </row>
    <row r="22" customFormat="false" ht="23.85" hidden="false" customHeight="false" outlineLevel="0" collapsed="false">
      <c r="A22" s="5" t="n">
        <v>21</v>
      </c>
      <c r="B22" s="5" t="s">
        <v>102</v>
      </c>
      <c r="C22" s="5" t="s">
        <v>795</v>
      </c>
      <c r="D22" s="5" t="s">
        <v>1802</v>
      </c>
      <c r="E22" s="5" t="s">
        <v>8</v>
      </c>
      <c r="F22" s="5" t="s">
        <v>8</v>
      </c>
      <c r="G22" s="5" t="s">
        <v>8</v>
      </c>
      <c r="H22" s="5" t="s">
        <v>8</v>
      </c>
      <c r="I22" s="5" t="s">
        <v>1499</v>
      </c>
      <c r="J22" s="5" t="s">
        <v>1803</v>
      </c>
    </row>
    <row r="23" customFormat="false" ht="23.85" hidden="false" customHeight="false" outlineLevel="0" collapsed="false">
      <c r="A23" s="5" t="n">
        <v>22</v>
      </c>
      <c r="B23" s="5" t="s">
        <v>892</v>
      </c>
      <c r="C23" s="5" t="s">
        <v>795</v>
      </c>
      <c r="D23" s="5" t="s">
        <v>1802</v>
      </c>
      <c r="E23" s="5" t="s">
        <v>8</v>
      </c>
      <c r="F23" s="5" t="s">
        <v>8</v>
      </c>
      <c r="G23" s="5" t="s">
        <v>8</v>
      </c>
      <c r="H23" s="5" t="s">
        <v>8</v>
      </c>
      <c r="I23" s="5" t="s">
        <v>1499</v>
      </c>
      <c r="J23" s="5" t="s">
        <v>1803</v>
      </c>
    </row>
    <row r="24" customFormat="false" ht="23.85" hidden="false" customHeight="false" outlineLevel="0" collapsed="false">
      <c r="A24" s="5" t="n">
        <v>23</v>
      </c>
      <c r="B24" s="5" t="s">
        <v>896</v>
      </c>
      <c r="C24" s="5" t="s">
        <v>795</v>
      </c>
      <c r="D24" s="5" t="s">
        <v>1804</v>
      </c>
      <c r="E24" s="5" t="s">
        <v>8</v>
      </c>
      <c r="F24" s="5" t="s">
        <v>8</v>
      </c>
      <c r="G24" s="5" t="s">
        <v>8</v>
      </c>
      <c r="H24" s="5" t="s">
        <v>8</v>
      </c>
      <c r="I24" s="5" t="s">
        <v>1499</v>
      </c>
      <c r="J24" s="5" t="s">
        <v>1803</v>
      </c>
    </row>
    <row r="25" customFormat="false" ht="23.85" hidden="false" customHeight="false" outlineLevel="0" collapsed="false">
      <c r="A25" s="5" t="n">
        <v>24</v>
      </c>
      <c r="B25" s="5" t="s">
        <v>899</v>
      </c>
      <c r="C25" s="5" t="s">
        <v>835</v>
      </c>
      <c r="D25" s="5" t="s">
        <v>1804</v>
      </c>
      <c r="E25" s="5" t="s">
        <v>8</v>
      </c>
      <c r="F25" s="5" t="s">
        <v>8</v>
      </c>
      <c r="G25" s="5" t="s">
        <v>8</v>
      </c>
      <c r="H25" s="5" t="s">
        <v>8</v>
      </c>
      <c r="I25" s="5" t="s">
        <v>1499</v>
      </c>
      <c r="J25" s="5" t="s">
        <v>1733</v>
      </c>
    </row>
    <row r="26" customFormat="false" ht="23.85" hidden="false" customHeight="false" outlineLevel="0" collapsed="false">
      <c r="A26" s="5" t="n">
        <v>25</v>
      </c>
      <c r="B26" s="5" t="s">
        <v>902</v>
      </c>
      <c r="C26" s="5" t="s">
        <v>795</v>
      </c>
      <c r="D26" s="5" t="s">
        <v>1802</v>
      </c>
      <c r="E26" s="5" t="s">
        <v>8</v>
      </c>
      <c r="F26" s="5" t="s">
        <v>8</v>
      </c>
      <c r="G26" s="5" t="s">
        <v>8</v>
      </c>
      <c r="H26" s="5" t="s">
        <v>8</v>
      </c>
      <c r="I26" s="5" t="s">
        <v>1499</v>
      </c>
      <c r="J26" s="5" t="s">
        <v>1803</v>
      </c>
    </row>
    <row r="27" customFormat="false" ht="23.85" hidden="false" customHeight="false" outlineLevel="0" collapsed="false">
      <c r="A27" s="5" t="n">
        <v>26</v>
      </c>
      <c r="B27" s="5" t="s">
        <v>906</v>
      </c>
      <c r="C27" s="5" t="s">
        <v>795</v>
      </c>
      <c r="D27" s="5" t="s">
        <v>1802</v>
      </c>
      <c r="E27" s="5" t="s">
        <v>8</v>
      </c>
      <c r="F27" s="5" t="s">
        <v>8</v>
      </c>
      <c r="G27" s="5" t="s">
        <v>8</v>
      </c>
      <c r="H27" s="5" t="s">
        <v>8</v>
      </c>
      <c r="I27" s="5" t="s">
        <v>1499</v>
      </c>
      <c r="J27" s="5" t="s">
        <v>1803</v>
      </c>
    </row>
    <row r="28" customFormat="false" ht="23.85" hidden="false" customHeight="false" outlineLevel="0" collapsed="false">
      <c r="A28" s="5" t="n">
        <v>27</v>
      </c>
      <c r="B28" s="5" t="s">
        <v>115</v>
      </c>
      <c r="C28" s="5" t="s">
        <v>795</v>
      </c>
      <c r="D28" s="5" t="s">
        <v>1804</v>
      </c>
      <c r="E28" s="5" t="s">
        <v>8</v>
      </c>
      <c r="F28" s="5" t="s">
        <v>8</v>
      </c>
      <c r="G28" s="5" t="s">
        <v>8</v>
      </c>
      <c r="H28" s="5" t="s">
        <v>8</v>
      </c>
      <c r="I28" s="5" t="s">
        <v>1499</v>
      </c>
      <c r="J28" s="5" t="s">
        <v>1803</v>
      </c>
    </row>
    <row r="29" customFormat="false" ht="23.85" hidden="false" customHeight="false" outlineLevel="0" collapsed="false">
      <c r="A29" s="5" t="n">
        <v>28</v>
      </c>
      <c r="B29" s="5" t="s">
        <v>914</v>
      </c>
      <c r="C29" s="5" t="s">
        <v>795</v>
      </c>
      <c r="D29" s="5" t="s">
        <v>1802</v>
      </c>
      <c r="E29" s="5" t="s">
        <v>8</v>
      </c>
      <c r="F29" s="5" t="s">
        <v>8</v>
      </c>
      <c r="G29" s="5" t="s">
        <v>8</v>
      </c>
      <c r="H29" s="5" t="s">
        <v>8</v>
      </c>
      <c r="I29" s="5" t="s">
        <v>1499</v>
      </c>
      <c r="J29" s="5" t="s">
        <v>1803</v>
      </c>
    </row>
    <row r="30" customFormat="false" ht="23.85" hidden="false" customHeight="false" outlineLevel="0" collapsed="false">
      <c r="A30" s="5" t="n">
        <v>29</v>
      </c>
      <c r="B30" s="5" t="s">
        <v>917</v>
      </c>
      <c r="C30" s="5" t="s">
        <v>795</v>
      </c>
      <c r="D30" s="5" t="s">
        <v>1802</v>
      </c>
      <c r="E30" s="5" t="s">
        <v>8</v>
      </c>
      <c r="F30" s="5" t="s">
        <v>8</v>
      </c>
      <c r="G30" s="5" t="s">
        <v>8</v>
      </c>
      <c r="H30" s="5" t="s">
        <v>8</v>
      </c>
      <c r="I30" s="5" t="s">
        <v>1499</v>
      </c>
      <c r="J30" s="5" t="s">
        <v>1803</v>
      </c>
    </row>
    <row r="31" customFormat="false" ht="23.85" hidden="false" customHeight="false" outlineLevel="0" collapsed="false">
      <c r="A31" s="5" t="n">
        <v>30</v>
      </c>
      <c r="B31" s="5" t="s">
        <v>921</v>
      </c>
      <c r="C31" s="5" t="s">
        <v>795</v>
      </c>
      <c r="D31" s="5" t="s">
        <v>1802</v>
      </c>
      <c r="E31" s="5" t="s">
        <v>8</v>
      </c>
      <c r="F31" s="5" t="s">
        <v>8</v>
      </c>
      <c r="G31" s="5" t="s">
        <v>8</v>
      </c>
      <c r="H31" s="5" t="s">
        <v>8</v>
      </c>
      <c r="I31" s="5" t="s">
        <v>1499</v>
      </c>
      <c r="J31" s="5" t="s">
        <v>1803</v>
      </c>
    </row>
    <row r="32" customFormat="false" ht="23.85" hidden="false" customHeight="false" outlineLevel="0" collapsed="false">
      <c r="A32" s="5" t="n">
        <v>31</v>
      </c>
      <c r="B32" s="5" t="s">
        <v>924</v>
      </c>
      <c r="C32" s="5" t="s">
        <v>795</v>
      </c>
      <c r="D32" s="5" t="s">
        <v>1802</v>
      </c>
      <c r="E32" s="5" t="s">
        <v>8</v>
      </c>
      <c r="F32" s="5" t="s">
        <v>8</v>
      </c>
      <c r="G32" s="5" t="s">
        <v>8</v>
      </c>
      <c r="H32" s="5" t="s">
        <v>8</v>
      </c>
      <c r="I32" s="5" t="s">
        <v>1499</v>
      </c>
      <c r="J32" s="5" t="s">
        <v>1803</v>
      </c>
    </row>
    <row r="33" customFormat="false" ht="23.85" hidden="false" customHeight="false" outlineLevel="0" collapsed="false">
      <c r="A33" s="5" t="n">
        <v>32</v>
      </c>
      <c r="B33" s="5" t="s">
        <v>928</v>
      </c>
      <c r="C33" s="5" t="s">
        <v>795</v>
      </c>
      <c r="D33" s="5" t="s">
        <v>1804</v>
      </c>
      <c r="E33" s="5" t="s">
        <v>8</v>
      </c>
      <c r="F33" s="5" t="s">
        <v>8</v>
      </c>
      <c r="G33" s="5" t="s">
        <v>8</v>
      </c>
      <c r="H33" s="5" t="s">
        <v>8</v>
      </c>
      <c r="I33" s="5" t="s">
        <v>1499</v>
      </c>
      <c r="J33" s="5" t="s">
        <v>1803</v>
      </c>
    </row>
    <row r="34" customFormat="false" ht="23.85" hidden="false" customHeight="false" outlineLevel="0" collapsed="false">
      <c r="A34" s="5" t="n">
        <v>33</v>
      </c>
      <c r="B34" s="5" t="s">
        <v>932</v>
      </c>
      <c r="C34" s="5" t="s">
        <v>795</v>
      </c>
      <c r="D34" s="5" t="s">
        <v>1804</v>
      </c>
      <c r="E34" s="5" t="s">
        <v>8</v>
      </c>
      <c r="F34" s="5" t="s">
        <v>8</v>
      </c>
      <c r="G34" s="5" t="s">
        <v>8</v>
      </c>
      <c r="H34" s="5" t="s">
        <v>8</v>
      </c>
      <c r="I34" s="5" t="s">
        <v>1499</v>
      </c>
      <c r="J34" s="5" t="s">
        <v>1803</v>
      </c>
    </row>
    <row r="35" customFormat="false" ht="23.85" hidden="false" customHeight="false" outlineLevel="0" collapsed="false">
      <c r="A35" s="5" t="n">
        <v>34</v>
      </c>
      <c r="B35" s="5" t="s">
        <v>935</v>
      </c>
      <c r="C35" s="5" t="s">
        <v>795</v>
      </c>
      <c r="D35" s="5" t="s">
        <v>1804</v>
      </c>
      <c r="E35" s="5" t="s">
        <v>8</v>
      </c>
      <c r="F35" s="5" t="s">
        <v>8</v>
      </c>
      <c r="G35" s="5" t="s">
        <v>8</v>
      </c>
      <c r="H35" s="5" t="s">
        <v>8</v>
      </c>
      <c r="I35" s="5" t="s">
        <v>1499</v>
      </c>
      <c r="J35" s="5" t="s">
        <v>1803</v>
      </c>
    </row>
    <row r="36" customFormat="false" ht="23.85" hidden="false" customHeight="false" outlineLevel="0" collapsed="false">
      <c r="A36" s="5" t="n">
        <v>35</v>
      </c>
      <c r="B36" s="5" t="s">
        <v>132</v>
      </c>
      <c r="C36" s="5" t="s">
        <v>835</v>
      </c>
      <c r="D36" s="5" t="s">
        <v>1804</v>
      </c>
      <c r="E36" s="5" t="s">
        <v>8</v>
      </c>
      <c r="F36" s="5" t="s">
        <v>8</v>
      </c>
      <c r="G36" s="5" t="s">
        <v>8</v>
      </c>
      <c r="H36" s="5" t="s">
        <v>8</v>
      </c>
      <c r="I36" s="5" t="s">
        <v>1499</v>
      </c>
      <c r="J36" s="5" t="s">
        <v>1733</v>
      </c>
    </row>
    <row r="37" customFormat="false" ht="23.85" hidden="false" customHeight="false" outlineLevel="0" collapsed="false">
      <c r="A37" s="5" t="n">
        <v>36</v>
      </c>
      <c r="B37" s="5" t="s">
        <v>134</v>
      </c>
      <c r="C37" s="5" t="s">
        <v>795</v>
      </c>
      <c r="D37" s="5" t="s">
        <v>1802</v>
      </c>
      <c r="E37" s="5" t="s">
        <v>8</v>
      </c>
      <c r="F37" s="5" t="s">
        <v>8</v>
      </c>
      <c r="G37" s="5" t="s">
        <v>8</v>
      </c>
      <c r="H37" s="5" t="s">
        <v>8</v>
      </c>
      <c r="I37" s="5" t="s">
        <v>1499</v>
      </c>
      <c r="J37" s="5" t="s">
        <v>1803</v>
      </c>
    </row>
    <row r="38" customFormat="false" ht="23.85" hidden="false" customHeight="false" outlineLevel="0" collapsed="false">
      <c r="A38" s="5" t="n">
        <v>37</v>
      </c>
      <c r="B38" s="5" t="s">
        <v>944</v>
      </c>
      <c r="C38" s="5" t="s">
        <v>795</v>
      </c>
      <c r="D38" s="5" t="s">
        <v>1804</v>
      </c>
      <c r="E38" s="5" t="s">
        <v>8</v>
      </c>
      <c r="F38" s="5" t="s">
        <v>8</v>
      </c>
      <c r="G38" s="5" t="s">
        <v>8</v>
      </c>
      <c r="H38" s="5" t="s">
        <v>8</v>
      </c>
      <c r="I38" s="5" t="s">
        <v>1499</v>
      </c>
      <c r="J38" s="5" t="s">
        <v>1803</v>
      </c>
    </row>
    <row r="39" customFormat="false" ht="23.85" hidden="false" customHeight="false" outlineLevel="0" collapsed="false">
      <c r="A39" s="5" t="n">
        <v>38</v>
      </c>
      <c r="B39" s="5" t="s">
        <v>947</v>
      </c>
      <c r="C39" s="5" t="s">
        <v>795</v>
      </c>
      <c r="D39" s="5" t="s">
        <v>1804</v>
      </c>
      <c r="E39" s="5" t="s">
        <v>8</v>
      </c>
      <c r="F39" s="5" t="s">
        <v>8</v>
      </c>
      <c r="G39" s="5" t="s">
        <v>8</v>
      </c>
      <c r="H39" s="5" t="s">
        <v>8</v>
      </c>
      <c r="I39" s="5" t="s">
        <v>1499</v>
      </c>
      <c r="J39" s="5" t="s">
        <v>1803</v>
      </c>
    </row>
    <row r="40" customFormat="false" ht="23.85" hidden="false" customHeight="false" outlineLevel="0" collapsed="false">
      <c r="A40" s="5" t="n">
        <v>39</v>
      </c>
      <c r="B40" s="5" t="s">
        <v>949</v>
      </c>
      <c r="C40" s="5" t="s">
        <v>795</v>
      </c>
      <c r="D40" s="5" t="s">
        <v>1802</v>
      </c>
      <c r="E40" s="5" t="s">
        <v>8</v>
      </c>
      <c r="F40" s="5" t="s">
        <v>8</v>
      </c>
      <c r="G40" s="5" t="s">
        <v>8</v>
      </c>
      <c r="H40" s="5" t="s">
        <v>8</v>
      </c>
      <c r="I40" s="5" t="s">
        <v>1499</v>
      </c>
      <c r="J40" s="5" t="s">
        <v>1803</v>
      </c>
    </row>
    <row r="41" customFormat="false" ht="23.85" hidden="false" customHeight="false" outlineLevel="0" collapsed="false">
      <c r="A41" s="5" t="n">
        <v>40</v>
      </c>
      <c r="B41" s="5" t="s">
        <v>952</v>
      </c>
      <c r="C41" s="5" t="s">
        <v>795</v>
      </c>
      <c r="D41" s="5" t="s">
        <v>1802</v>
      </c>
      <c r="E41" s="5" t="s">
        <v>8</v>
      </c>
      <c r="F41" s="5" t="s">
        <v>8</v>
      </c>
      <c r="G41" s="5" t="s">
        <v>8</v>
      </c>
      <c r="H41" s="5" t="s">
        <v>8</v>
      </c>
      <c r="I41" s="5" t="s">
        <v>1499</v>
      </c>
      <c r="J41" s="5" t="s">
        <v>1803</v>
      </c>
    </row>
    <row r="42" customFormat="false" ht="23.85" hidden="false" customHeight="false" outlineLevel="0" collapsed="false">
      <c r="A42" s="5" t="n">
        <v>41</v>
      </c>
      <c r="B42" s="5" t="s">
        <v>956</v>
      </c>
      <c r="C42" s="5" t="s">
        <v>795</v>
      </c>
      <c r="D42" s="5" t="s">
        <v>1804</v>
      </c>
      <c r="E42" s="5" t="s">
        <v>8</v>
      </c>
      <c r="F42" s="5" t="s">
        <v>8</v>
      </c>
      <c r="G42" s="5" t="s">
        <v>8</v>
      </c>
      <c r="H42" s="5" t="s">
        <v>8</v>
      </c>
      <c r="I42" s="5" t="s">
        <v>1499</v>
      </c>
      <c r="J42" s="5" t="s">
        <v>1803</v>
      </c>
    </row>
    <row r="43" customFormat="false" ht="23.85" hidden="false" customHeight="false" outlineLevel="0" collapsed="false">
      <c r="A43" s="5" t="n">
        <v>42</v>
      </c>
      <c r="B43" s="5" t="s">
        <v>959</v>
      </c>
      <c r="C43" s="5" t="s">
        <v>795</v>
      </c>
      <c r="D43" s="5" t="s">
        <v>1804</v>
      </c>
      <c r="E43" s="5" t="s">
        <v>8</v>
      </c>
      <c r="F43" s="5" t="s">
        <v>8</v>
      </c>
      <c r="G43" s="5" t="s">
        <v>8</v>
      </c>
      <c r="H43" s="5" t="s">
        <v>8</v>
      </c>
      <c r="I43" s="5" t="s">
        <v>1499</v>
      </c>
      <c r="J43" s="5" t="s">
        <v>1803</v>
      </c>
    </row>
    <row r="44" customFormat="false" ht="23.85" hidden="false" customHeight="false" outlineLevel="0" collapsed="false">
      <c r="A44" s="5" t="n">
        <v>43</v>
      </c>
      <c r="B44" s="5" t="s">
        <v>962</v>
      </c>
      <c r="C44" s="5" t="s">
        <v>795</v>
      </c>
      <c r="D44" s="5" t="s">
        <v>1804</v>
      </c>
      <c r="E44" s="5" t="s">
        <v>8</v>
      </c>
      <c r="F44" s="5" t="s">
        <v>8</v>
      </c>
      <c r="G44" s="5" t="s">
        <v>8</v>
      </c>
      <c r="H44" s="5" t="s">
        <v>8</v>
      </c>
      <c r="I44" s="5" t="s">
        <v>1499</v>
      </c>
      <c r="J44" s="5" t="s">
        <v>1803</v>
      </c>
    </row>
    <row r="45" customFormat="false" ht="23.85" hidden="false" customHeight="false" outlineLevel="0" collapsed="false">
      <c r="A45" s="5" t="n">
        <v>44</v>
      </c>
      <c r="B45" s="5" t="s">
        <v>965</v>
      </c>
      <c r="C45" s="5" t="s">
        <v>795</v>
      </c>
      <c r="D45" s="5" t="s">
        <v>1804</v>
      </c>
      <c r="E45" s="5" t="s">
        <v>8</v>
      </c>
      <c r="F45" s="5" t="s">
        <v>8</v>
      </c>
      <c r="G45" s="5" t="s">
        <v>8</v>
      </c>
      <c r="H45" s="5" t="s">
        <v>8</v>
      </c>
      <c r="I45" s="5" t="s">
        <v>1499</v>
      </c>
      <c r="J45" s="5" t="s">
        <v>1803</v>
      </c>
    </row>
    <row r="46" customFormat="false" ht="23.85" hidden="false" customHeight="false" outlineLevel="0" collapsed="false">
      <c r="A46" s="5" t="n">
        <v>45</v>
      </c>
      <c r="B46" s="5" t="s">
        <v>968</v>
      </c>
      <c r="C46" s="5" t="s">
        <v>870</v>
      </c>
      <c r="D46" s="5" t="s">
        <v>1804</v>
      </c>
      <c r="E46" s="5" t="s">
        <v>8</v>
      </c>
      <c r="F46" s="5" t="s">
        <v>8</v>
      </c>
      <c r="G46" s="5" t="s">
        <v>8</v>
      </c>
      <c r="H46" s="5" t="s">
        <v>8</v>
      </c>
      <c r="I46" s="5" t="s">
        <v>1499</v>
      </c>
      <c r="J46" s="5" t="s">
        <v>1805</v>
      </c>
    </row>
    <row r="47" customFormat="false" ht="23.85" hidden="false" customHeight="false" outlineLevel="0" collapsed="false">
      <c r="A47" s="5" t="n">
        <v>46</v>
      </c>
      <c r="B47" s="5" t="s">
        <v>970</v>
      </c>
      <c r="C47" s="5" t="s">
        <v>795</v>
      </c>
      <c r="D47" s="5" t="s">
        <v>1804</v>
      </c>
      <c r="E47" s="5" t="s">
        <v>8</v>
      </c>
      <c r="F47" s="5" t="s">
        <v>8</v>
      </c>
      <c r="G47" s="5" t="s">
        <v>8</v>
      </c>
      <c r="H47" s="5" t="s">
        <v>8</v>
      </c>
      <c r="I47" s="5" t="s">
        <v>1499</v>
      </c>
      <c r="J47" s="5" t="s">
        <v>1803</v>
      </c>
    </row>
    <row r="48" customFormat="false" ht="23.85" hidden="false" customHeight="false" outlineLevel="0" collapsed="false">
      <c r="A48" s="5" t="n">
        <v>47</v>
      </c>
      <c r="B48" s="5" t="s">
        <v>973</v>
      </c>
      <c r="C48" s="5" t="s">
        <v>795</v>
      </c>
      <c r="D48" s="5" t="s">
        <v>1802</v>
      </c>
      <c r="E48" s="5" t="s">
        <v>8</v>
      </c>
      <c r="F48" s="5" t="s">
        <v>8</v>
      </c>
      <c r="G48" s="5" t="s">
        <v>8</v>
      </c>
      <c r="H48" s="5" t="s">
        <v>8</v>
      </c>
      <c r="I48" s="5" t="s">
        <v>1499</v>
      </c>
      <c r="J48" s="5" t="s">
        <v>1803</v>
      </c>
    </row>
    <row r="49" customFormat="false" ht="23.85" hidden="false" customHeight="false" outlineLevel="0" collapsed="false">
      <c r="A49" s="5" t="n">
        <v>48</v>
      </c>
      <c r="B49" s="5" t="s">
        <v>976</v>
      </c>
      <c r="C49" s="5" t="s">
        <v>795</v>
      </c>
      <c r="D49" s="5" t="s">
        <v>1802</v>
      </c>
      <c r="E49" s="5" t="s">
        <v>8</v>
      </c>
      <c r="F49" s="5" t="s">
        <v>8</v>
      </c>
      <c r="G49" s="5" t="s">
        <v>8</v>
      </c>
      <c r="H49" s="5" t="s">
        <v>8</v>
      </c>
      <c r="I49" s="5" t="s">
        <v>1499</v>
      </c>
      <c r="J49" s="5" t="s">
        <v>1803</v>
      </c>
    </row>
    <row r="50" customFormat="false" ht="23.85" hidden="false" customHeight="false" outlineLevel="0" collapsed="false">
      <c r="A50" s="5" t="n">
        <v>49</v>
      </c>
      <c r="B50" s="5" t="s">
        <v>979</v>
      </c>
      <c r="C50" s="5" t="s">
        <v>795</v>
      </c>
      <c r="D50" s="5" t="s">
        <v>1802</v>
      </c>
      <c r="E50" s="5" t="s">
        <v>8</v>
      </c>
      <c r="F50" s="5" t="s">
        <v>8</v>
      </c>
      <c r="G50" s="5" t="s">
        <v>8</v>
      </c>
      <c r="H50" s="5" t="s">
        <v>8</v>
      </c>
      <c r="I50" s="5" t="s">
        <v>1499</v>
      </c>
      <c r="J50" s="5" t="s">
        <v>1803</v>
      </c>
    </row>
    <row r="51" customFormat="false" ht="23.85" hidden="false" customHeight="false" outlineLevel="0" collapsed="false">
      <c r="A51" s="5" t="n">
        <v>50</v>
      </c>
      <c r="B51" s="5" t="s">
        <v>981</v>
      </c>
      <c r="C51" s="5" t="s">
        <v>795</v>
      </c>
      <c r="D51" s="5" t="s">
        <v>1804</v>
      </c>
      <c r="E51" s="5" t="s">
        <v>8</v>
      </c>
      <c r="F51" s="5" t="s">
        <v>8</v>
      </c>
      <c r="G51" s="5" t="s">
        <v>8</v>
      </c>
      <c r="H51" s="5" t="s">
        <v>8</v>
      </c>
      <c r="I51" s="5" t="s">
        <v>1499</v>
      </c>
      <c r="J51" s="5" t="s">
        <v>1803</v>
      </c>
    </row>
    <row r="52" customFormat="false" ht="23.85" hidden="false" customHeight="false" outlineLevel="0" collapsed="false">
      <c r="A52" s="5" t="n">
        <v>51</v>
      </c>
      <c r="B52" s="5" t="s">
        <v>983</v>
      </c>
      <c r="C52" s="5" t="s">
        <v>795</v>
      </c>
      <c r="D52" s="5" t="s">
        <v>1802</v>
      </c>
      <c r="E52" s="5" t="s">
        <v>8</v>
      </c>
      <c r="F52" s="5" t="s">
        <v>8</v>
      </c>
      <c r="G52" s="5" t="s">
        <v>8</v>
      </c>
      <c r="H52" s="5" t="s">
        <v>8</v>
      </c>
      <c r="I52" s="5" t="s">
        <v>1499</v>
      </c>
      <c r="J52" s="5" t="s">
        <v>1803</v>
      </c>
    </row>
    <row r="53" customFormat="false" ht="23.85" hidden="false" customHeight="false" outlineLevel="0" collapsed="false">
      <c r="A53" s="5" t="n">
        <v>52</v>
      </c>
      <c r="B53" s="5" t="s">
        <v>986</v>
      </c>
      <c r="C53" s="5" t="s">
        <v>795</v>
      </c>
      <c r="D53" s="5" t="s">
        <v>1802</v>
      </c>
      <c r="E53" s="5" t="s">
        <v>8</v>
      </c>
      <c r="F53" s="5" t="s">
        <v>8</v>
      </c>
      <c r="G53" s="5" t="s">
        <v>8</v>
      </c>
      <c r="H53" s="5" t="s">
        <v>8</v>
      </c>
      <c r="I53" s="5" t="s">
        <v>1499</v>
      </c>
      <c r="J53" s="5" t="s">
        <v>1803</v>
      </c>
    </row>
    <row r="54" customFormat="false" ht="23.85" hidden="false" customHeight="false" outlineLevel="0" collapsed="false">
      <c r="A54" s="5" t="n">
        <v>53</v>
      </c>
      <c r="B54" s="5" t="s">
        <v>990</v>
      </c>
      <c r="C54" s="5" t="s">
        <v>795</v>
      </c>
      <c r="D54" s="5" t="s">
        <v>1804</v>
      </c>
      <c r="E54" s="5" t="s">
        <v>8</v>
      </c>
      <c r="F54" s="5" t="s">
        <v>8</v>
      </c>
      <c r="G54" s="5" t="s">
        <v>8</v>
      </c>
      <c r="H54" s="5" t="s">
        <v>8</v>
      </c>
      <c r="I54" s="5" t="s">
        <v>1499</v>
      </c>
      <c r="J54" s="5" t="s">
        <v>1803</v>
      </c>
    </row>
    <row r="55" customFormat="false" ht="23.85" hidden="false" customHeight="false" outlineLevel="0" collapsed="false">
      <c r="A55" s="5" t="n">
        <v>54</v>
      </c>
      <c r="B55" s="5" t="s">
        <v>993</v>
      </c>
      <c r="C55" s="5" t="s">
        <v>795</v>
      </c>
      <c r="D55" s="5" t="s">
        <v>1804</v>
      </c>
      <c r="E55" s="5" t="s">
        <v>8</v>
      </c>
      <c r="F55" s="5" t="s">
        <v>8</v>
      </c>
      <c r="G55" s="5" t="s">
        <v>8</v>
      </c>
      <c r="H55" s="5" t="s">
        <v>8</v>
      </c>
      <c r="I55" s="5" t="s">
        <v>1499</v>
      </c>
      <c r="J55" s="5" t="s">
        <v>1803</v>
      </c>
    </row>
    <row r="56" customFormat="false" ht="23.85" hidden="false" customHeight="false" outlineLevel="0" collapsed="false">
      <c r="A56" s="5" t="n">
        <v>55</v>
      </c>
      <c r="B56" s="5" t="s">
        <v>996</v>
      </c>
      <c r="C56" s="5" t="s">
        <v>795</v>
      </c>
      <c r="D56" s="5" t="s">
        <v>1804</v>
      </c>
      <c r="E56" s="5" t="s">
        <v>8</v>
      </c>
      <c r="F56" s="5" t="s">
        <v>8</v>
      </c>
      <c r="G56" s="5" t="s">
        <v>8</v>
      </c>
      <c r="H56" s="5" t="s">
        <v>8</v>
      </c>
      <c r="I56" s="5" t="s">
        <v>1499</v>
      </c>
      <c r="J56" s="5" t="s">
        <v>1803</v>
      </c>
    </row>
    <row r="57" customFormat="false" ht="23.85" hidden="false" customHeight="false" outlineLevel="0" collapsed="false">
      <c r="A57" s="5" t="n">
        <v>56</v>
      </c>
      <c r="B57" s="5" t="s">
        <v>175</v>
      </c>
      <c r="C57" s="5" t="s">
        <v>795</v>
      </c>
      <c r="D57" s="5" t="s">
        <v>1802</v>
      </c>
      <c r="E57" s="5" t="s">
        <v>8</v>
      </c>
      <c r="F57" s="5" t="s">
        <v>8</v>
      </c>
      <c r="G57" s="5" t="s">
        <v>8</v>
      </c>
      <c r="H57" s="5" t="s">
        <v>8</v>
      </c>
      <c r="I57" s="5" t="s">
        <v>1499</v>
      </c>
      <c r="J57" s="5" t="s">
        <v>1803</v>
      </c>
    </row>
    <row r="58" customFormat="false" ht="23.85" hidden="false" customHeight="false" outlineLevel="0" collapsed="false">
      <c r="A58" s="5" t="n">
        <v>57</v>
      </c>
      <c r="B58" s="5" t="s">
        <v>177</v>
      </c>
      <c r="C58" s="5" t="s">
        <v>835</v>
      </c>
      <c r="D58" s="5" t="s">
        <v>1804</v>
      </c>
      <c r="E58" s="5" t="s">
        <v>8</v>
      </c>
      <c r="F58" s="5" t="s">
        <v>8</v>
      </c>
      <c r="G58" s="5" t="s">
        <v>8</v>
      </c>
      <c r="H58" s="5" t="s">
        <v>8</v>
      </c>
      <c r="I58" s="5" t="s">
        <v>1499</v>
      </c>
      <c r="J58" s="5" t="s">
        <v>1733</v>
      </c>
    </row>
    <row r="59" customFormat="false" ht="23.85" hidden="false" customHeight="false" outlineLevel="0" collapsed="false">
      <c r="A59" s="5" t="n">
        <v>58</v>
      </c>
      <c r="B59" s="5" t="s">
        <v>179</v>
      </c>
      <c r="C59" s="5" t="s">
        <v>795</v>
      </c>
      <c r="D59" s="5" t="s">
        <v>1802</v>
      </c>
      <c r="E59" s="5" t="s">
        <v>8</v>
      </c>
      <c r="F59" s="5" t="s">
        <v>8</v>
      </c>
      <c r="G59" s="5" t="s">
        <v>8</v>
      </c>
      <c r="H59" s="5" t="s">
        <v>8</v>
      </c>
      <c r="I59" s="5" t="s">
        <v>1499</v>
      </c>
      <c r="J59" s="5" t="s">
        <v>1803</v>
      </c>
    </row>
    <row r="60" customFormat="false" ht="15" hidden="false" customHeight="false" outlineLevel="0" collapsed="false">
      <c r="A60" s="1" t="n">
        <v>59</v>
      </c>
      <c r="B60" s="1" t="s">
        <v>181</v>
      </c>
      <c r="C60" s="1" t="s">
        <v>795</v>
      </c>
      <c r="D60" s="1" t="s">
        <v>1806</v>
      </c>
      <c r="E60" s="1" t="s">
        <v>8</v>
      </c>
      <c r="F60" s="1" t="s">
        <v>8</v>
      </c>
      <c r="G60" s="1" t="s">
        <v>8</v>
      </c>
      <c r="H60" s="1" t="s">
        <v>8</v>
      </c>
      <c r="I60" s="1" t="s">
        <v>1499</v>
      </c>
      <c r="J60" s="1" t="s">
        <v>1803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28"/>
    <col collapsed="false" customWidth="true" hidden="false" outlineLevel="0" max="3" min="3" style="1" width="30"/>
    <col collapsed="false" customWidth="true" hidden="false" outlineLevel="0" max="5" min="4" style="1" width="18"/>
    <col collapsed="false" customWidth="true" hidden="false" outlineLevel="0" max="6" min="6" style="1" width="28"/>
    <col collapsed="false" customWidth="true" hidden="false" outlineLevel="0" max="7" min="7" style="1" width="48"/>
    <col collapsed="false" customWidth="true" hidden="false" outlineLevel="0" max="8" min="8" style="1" width="14"/>
  </cols>
  <sheetData>
    <row r="1" customFormat="false" ht="36" hidden="false" customHeight="true" outlineLevel="0" collapsed="false">
      <c r="A1" s="19" t="s">
        <v>805</v>
      </c>
      <c r="B1" s="19" t="s">
        <v>1807</v>
      </c>
      <c r="C1" s="19" t="s">
        <v>1720</v>
      </c>
      <c r="D1" s="19" t="s">
        <v>1808</v>
      </c>
      <c r="E1" s="19" t="s">
        <v>1809</v>
      </c>
      <c r="F1" s="19" t="s">
        <v>1810</v>
      </c>
      <c r="G1" s="19" t="s">
        <v>1725</v>
      </c>
      <c r="H1" s="19" t="s">
        <v>1811</v>
      </c>
    </row>
    <row r="2" customFormat="false" ht="23.85" hidden="false" customHeight="false" outlineLevel="0" collapsed="false">
      <c r="A2" s="11" t="n">
        <v>2</v>
      </c>
      <c r="B2" s="11" t="s">
        <v>1812</v>
      </c>
      <c r="C2" s="11" t="s">
        <v>1031</v>
      </c>
      <c r="D2" s="11" t="n">
        <v>1</v>
      </c>
      <c r="E2" s="11" t="n">
        <v>0</v>
      </c>
      <c r="F2" s="11" t="s">
        <v>1813</v>
      </c>
      <c r="G2" s="11" t="s">
        <v>1814</v>
      </c>
      <c r="H2" s="11" t="s">
        <v>1815</v>
      </c>
    </row>
    <row r="3" customFormat="false" ht="23.85" hidden="false" customHeight="false" outlineLevel="0" collapsed="false">
      <c r="A3" s="11" t="n">
        <v>2</v>
      </c>
      <c r="B3" s="11" t="s">
        <v>1812</v>
      </c>
      <c r="C3" s="11" t="s">
        <v>1032</v>
      </c>
      <c r="D3" s="11" t="n">
        <v>1</v>
      </c>
      <c r="E3" s="11" t="n">
        <v>0</v>
      </c>
      <c r="F3" s="11" t="s">
        <v>1813</v>
      </c>
      <c r="G3" s="11" t="s">
        <v>1814</v>
      </c>
      <c r="H3" s="11" t="s">
        <v>1815</v>
      </c>
    </row>
    <row r="4" customFormat="false" ht="23.85" hidden="false" customHeight="false" outlineLevel="0" collapsed="false">
      <c r="A4" s="11" t="n">
        <v>4</v>
      </c>
      <c r="B4" s="11" t="s">
        <v>1812</v>
      </c>
      <c r="C4" s="11" t="s">
        <v>20</v>
      </c>
      <c r="D4" s="11" t="n">
        <v>0</v>
      </c>
      <c r="E4" s="11" t="n">
        <v>1</v>
      </c>
      <c r="F4" s="11" t="s">
        <v>1813</v>
      </c>
      <c r="G4" s="11" t="s">
        <v>1814</v>
      </c>
      <c r="H4" s="11" t="s">
        <v>1815</v>
      </c>
    </row>
    <row r="5" customFormat="false" ht="23.85" hidden="false" customHeight="false" outlineLevel="0" collapsed="false">
      <c r="A5" s="11" t="n">
        <v>5</v>
      </c>
      <c r="B5" s="11" t="s">
        <v>1812</v>
      </c>
      <c r="C5" s="11" t="s">
        <v>19</v>
      </c>
      <c r="D5" s="11" t="n">
        <v>0</v>
      </c>
      <c r="E5" s="11" t="n">
        <v>1</v>
      </c>
      <c r="F5" s="11" t="s">
        <v>1813</v>
      </c>
      <c r="G5" s="11" t="s">
        <v>1814</v>
      </c>
      <c r="H5" s="11" t="s">
        <v>1815</v>
      </c>
    </row>
    <row r="6" customFormat="false" ht="23.85" hidden="false" customHeight="false" outlineLevel="0" collapsed="false">
      <c r="A6" s="11" t="n">
        <v>8</v>
      </c>
      <c r="B6" s="11" t="s">
        <v>1812</v>
      </c>
      <c r="C6" s="11" t="s">
        <v>20</v>
      </c>
      <c r="D6" s="11" t="n">
        <v>0</v>
      </c>
      <c r="E6" s="11" t="n">
        <v>1</v>
      </c>
      <c r="F6" s="11" t="s">
        <v>1813</v>
      </c>
      <c r="G6" s="11" t="s">
        <v>1814</v>
      </c>
      <c r="H6" s="11" t="s">
        <v>1815</v>
      </c>
    </row>
    <row r="7" customFormat="false" ht="23.85" hidden="false" customHeight="false" outlineLevel="0" collapsed="false">
      <c r="A7" s="11" t="n">
        <v>8</v>
      </c>
      <c r="B7" s="11" t="s">
        <v>1812</v>
      </c>
      <c r="C7" s="11" t="s">
        <v>1031</v>
      </c>
      <c r="D7" s="11" t="n">
        <v>1</v>
      </c>
      <c r="E7" s="11" t="n">
        <v>0</v>
      </c>
      <c r="F7" s="11" t="s">
        <v>1813</v>
      </c>
      <c r="G7" s="11" t="s">
        <v>1814</v>
      </c>
      <c r="H7" s="11" t="s">
        <v>1815</v>
      </c>
    </row>
    <row r="8" customFormat="false" ht="23.85" hidden="false" customHeight="false" outlineLevel="0" collapsed="false">
      <c r="A8" s="11" t="n">
        <v>11</v>
      </c>
      <c r="B8" s="11" t="s">
        <v>1812</v>
      </c>
      <c r="C8" s="11" t="s">
        <v>1032</v>
      </c>
      <c r="D8" s="11" t="n">
        <v>1</v>
      </c>
      <c r="E8" s="11" t="n">
        <v>0</v>
      </c>
      <c r="F8" s="11" t="s">
        <v>1813</v>
      </c>
      <c r="G8" s="11" t="s">
        <v>1814</v>
      </c>
      <c r="H8" s="11" t="s">
        <v>1815</v>
      </c>
    </row>
    <row r="9" customFormat="false" ht="23.85" hidden="false" customHeight="false" outlineLevel="0" collapsed="false">
      <c r="A9" s="11" t="n">
        <v>12</v>
      </c>
      <c r="B9" s="11" t="s">
        <v>1812</v>
      </c>
      <c r="C9" s="11" t="s">
        <v>1033</v>
      </c>
      <c r="D9" s="11" t="n">
        <v>1</v>
      </c>
      <c r="E9" s="11" t="n">
        <v>0</v>
      </c>
      <c r="F9" s="11" t="s">
        <v>1813</v>
      </c>
      <c r="G9" s="11" t="s">
        <v>1814</v>
      </c>
      <c r="H9" s="11" t="s">
        <v>1815</v>
      </c>
    </row>
    <row r="10" customFormat="false" ht="23.85" hidden="false" customHeight="false" outlineLevel="0" collapsed="false">
      <c r="A10" s="11" t="n">
        <v>13</v>
      </c>
      <c r="B10" s="11" t="s">
        <v>1812</v>
      </c>
      <c r="C10" s="11" t="s">
        <v>21</v>
      </c>
      <c r="D10" s="11" t="n">
        <v>0</v>
      </c>
      <c r="E10" s="11" t="n">
        <v>1</v>
      </c>
      <c r="F10" s="11" t="s">
        <v>1813</v>
      </c>
      <c r="G10" s="11" t="s">
        <v>1814</v>
      </c>
      <c r="H10" s="11" t="s">
        <v>1815</v>
      </c>
    </row>
    <row r="11" customFormat="false" ht="23.85" hidden="false" customHeight="false" outlineLevel="0" collapsed="false">
      <c r="A11" s="11" t="n">
        <v>14</v>
      </c>
      <c r="B11" s="11" t="s">
        <v>1812</v>
      </c>
      <c r="C11" s="11" t="s">
        <v>1031</v>
      </c>
      <c r="D11" s="11" t="n">
        <v>0</v>
      </c>
      <c r="E11" s="11" t="n">
        <v>1</v>
      </c>
      <c r="F11" s="11" t="s">
        <v>1813</v>
      </c>
      <c r="G11" s="11" t="s">
        <v>1814</v>
      </c>
      <c r="H11" s="11" t="s">
        <v>1815</v>
      </c>
    </row>
    <row r="12" customFormat="false" ht="23.85" hidden="false" customHeight="false" outlineLevel="0" collapsed="false">
      <c r="A12" s="11" t="n">
        <v>15</v>
      </c>
      <c r="B12" s="11" t="s">
        <v>1812</v>
      </c>
      <c r="C12" s="11" t="s">
        <v>1030</v>
      </c>
      <c r="D12" s="11" t="n">
        <v>1</v>
      </c>
      <c r="E12" s="11" t="n">
        <v>0</v>
      </c>
      <c r="F12" s="11" t="s">
        <v>1813</v>
      </c>
      <c r="G12" s="11" t="s">
        <v>1814</v>
      </c>
      <c r="H12" s="11" t="s">
        <v>1815</v>
      </c>
    </row>
    <row r="13" customFormat="false" ht="23.85" hidden="false" customHeight="false" outlineLevel="0" collapsed="false">
      <c r="A13" s="11" t="n">
        <v>15</v>
      </c>
      <c r="B13" s="11" t="s">
        <v>1812</v>
      </c>
      <c r="C13" s="11" t="s">
        <v>1031</v>
      </c>
      <c r="D13" s="11" t="n">
        <v>1</v>
      </c>
      <c r="E13" s="11" t="n">
        <v>0</v>
      </c>
      <c r="F13" s="11" t="s">
        <v>1813</v>
      </c>
      <c r="G13" s="11" t="s">
        <v>1814</v>
      </c>
      <c r="H13" s="11" t="s">
        <v>1815</v>
      </c>
    </row>
    <row r="14" customFormat="false" ht="23.85" hidden="false" customHeight="false" outlineLevel="0" collapsed="false">
      <c r="A14" s="11" t="n">
        <v>18</v>
      </c>
      <c r="B14" s="11" t="s">
        <v>1812</v>
      </c>
      <c r="C14" s="11" t="s">
        <v>20</v>
      </c>
      <c r="D14" s="11" t="n">
        <v>0</v>
      </c>
      <c r="E14" s="11" t="n">
        <v>1</v>
      </c>
      <c r="F14" s="11" t="s">
        <v>1813</v>
      </c>
      <c r="G14" s="11" t="s">
        <v>1814</v>
      </c>
      <c r="H14" s="11" t="s">
        <v>1815</v>
      </c>
    </row>
    <row r="15" customFormat="false" ht="23.85" hidden="false" customHeight="false" outlineLevel="0" collapsed="false">
      <c r="A15" s="11" t="n">
        <v>18</v>
      </c>
      <c r="B15" s="11" t="s">
        <v>1812</v>
      </c>
      <c r="C15" s="11" t="s">
        <v>1031</v>
      </c>
      <c r="D15" s="11" t="n">
        <v>1</v>
      </c>
      <c r="E15" s="11" t="n">
        <v>0</v>
      </c>
      <c r="F15" s="11" t="s">
        <v>1813</v>
      </c>
      <c r="G15" s="11" t="s">
        <v>1814</v>
      </c>
      <c r="H15" s="11" t="s">
        <v>1815</v>
      </c>
    </row>
    <row r="16" customFormat="false" ht="23.85" hidden="false" customHeight="false" outlineLevel="0" collapsed="false">
      <c r="A16" s="11" t="n">
        <v>20</v>
      </c>
      <c r="B16" s="11" t="s">
        <v>1812</v>
      </c>
      <c r="C16" s="11" t="s">
        <v>1031</v>
      </c>
      <c r="D16" s="11" t="n">
        <v>0</v>
      </c>
      <c r="E16" s="11" t="n">
        <v>1</v>
      </c>
      <c r="F16" s="11" t="s">
        <v>1813</v>
      </c>
      <c r="G16" s="11" t="s">
        <v>1814</v>
      </c>
      <c r="H16" s="11" t="s">
        <v>1815</v>
      </c>
    </row>
    <row r="17" customFormat="false" ht="23.85" hidden="false" customHeight="false" outlineLevel="0" collapsed="false">
      <c r="A17" s="11" t="n">
        <v>21</v>
      </c>
      <c r="B17" s="11" t="s">
        <v>1812</v>
      </c>
      <c r="C17" s="11" t="s">
        <v>1031</v>
      </c>
      <c r="D17" s="11" t="n">
        <v>0</v>
      </c>
      <c r="E17" s="11" t="n">
        <v>1</v>
      </c>
      <c r="F17" s="11" t="s">
        <v>1813</v>
      </c>
      <c r="G17" s="11" t="s">
        <v>1814</v>
      </c>
      <c r="H17" s="11" t="s">
        <v>1815</v>
      </c>
    </row>
    <row r="18" customFormat="false" ht="23.85" hidden="false" customHeight="false" outlineLevel="0" collapsed="false">
      <c r="A18" s="11" t="n">
        <v>21</v>
      </c>
      <c r="B18" s="11" t="s">
        <v>1812</v>
      </c>
      <c r="C18" s="11" t="s">
        <v>1033</v>
      </c>
      <c r="D18" s="11" t="n">
        <v>0</v>
      </c>
      <c r="E18" s="11" t="n">
        <v>1</v>
      </c>
      <c r="F18" s="11" t="s">
        <v>1813</v>
      </c>
      <c r="G18" s="11" t="s">
        <v>1814</v>
      </c>
      <c r="H18" s="11" t="s">
        <v>1815</v>
      </c>
    </row>
    <row r="19" customFormat="false" ht="23.85" hidden="false" customHeight="false" outlineLevel="0" collapsed="false">
      <c r="A19" s="11" t="n">
        <v>22</v>
      </c>
      <c r="B19" s="11" t="s">
        <v>1812</v>
      </c>
      <c r="C19" s="11" t="s">
        <v>1031</v>
      </c>
      <c r="D19" s="11" t="n">
        <v>0</v>
      </c>
      <c r="E19" s="11" t="n">
        <v>1</v>
      </c>
      <c r="F19" s="11" t="s">
        <v>1813</v>
      </c>
      <c r="G19" s="11" t="s">
        <v>1814</v>
      </c>
      <c r="H19" s="11" t="s">
        <v>1815</v>
      </c>
    </row>
    <row r="20" customFormat="false" ht="23.85" hidden="false" customHeight="false" outlineLevel="0" collapsed="false">
      <c r="A20" s="11" t="n">
        <v>22</v>
      </c>
      <c r="B20" s="11" t="s">
        <v>1812</v>
      </c>
      <c r="C20" s="11" t="s">
        <v>1032</v>
      </c>
      <c r="D20" s="11" t="n">
        <v>0</v>
      </c>
      <c r="E20" s="11" t="n">
        <v>1</v>
      </c>
      <c r="F20" s="11" t="s">
        <v>1813</v>
      </c>
      <c r="G20" s="11" t="s">
        <v>1814</v>
      </c>
      <c r="H20" s="11" t="s">
        <v>1815</v>
      </c>
    </row>
    <row r="21" customFormat="false" ht="23.85" hidden="false" customHeight="false" outlineLevel="0" collapsed="false">
      <c r="A21" s="11" t="n">
        <v>22</v>
      </c>
      <c r="B21" s="11" t="s">
        <v>1812</v>
      </c>
      <c r="C21" s="11" t="s">
        <v>1033</v>
      </c>
      <c r="D21" s="11" t="n">
        <v>0</v>
      </c>
      <c r="E21" s="11" t="n">
        <v>1</v>
      </c>
      <c r="F21" s="11" t="s">
        <v>1813</v>
      </c>
      <c r="G21" s="11" t="s">
        <v>1814</v>
      </c>
      <c r="H21" s="11" t="s">
        <v>1815</v>
      </c>
    </row>
    <row r="22" customFormat="false" ht="23.85" hidden="false" customHeight="false" outlineLevel="0" collapsed="false">
      <c r="A22" s="11" t="n">
        <v>24</v>
      </c>
      <c r="B22" s="11" t="s">
        <v>1812</v>
      </c>
      <c r="C22" s="11" t="s">
        <v>1031</v>
      </c>
      <c r="D22" s="11" t="n">
        <v>1</v>
      </c>
      <c r="E22" s="11" t="n">
        <v>0</v>
      </c>
      <c r="F22" s="11" t="s">
        <v>1813</v>
      </c>
      <c r="G22" s="11" t="s">
        <v>1814</v>
      </c>
      <c r="H22" s="11" t="s">
        <v>1815</v>
      </c>
    </row>
    <row r="23" customFormat="false" ht="23.85" hidden="false" customHeight="false" outlineLevel="0" collapsed="false">
      <c r="A23" s="11" t="n">
        <v>25</v>
      </c>
      <c r="B23" s="11" t="s">
        <v>1812</v>
      </c>
      <c r="C23" s="11" t="s">
        <v>20</v>
      </c>
      <c r="D23" s="11" t="n">
        <v>0</v>
      </c>
      <c r="E23" s="11" t="n">
        <v>1</v>
      </c>
      <c r="F23" s="11" t="s">
        <v>1813</v>
      </c>
      <c r="G23" s="11" t="s">
        <v>1814</v>
      </c>
      <c r="H23" s="11" t="s">
        <v>1815</v>
      </c>
    </row>
    <row r="24" customFormat="false" ht="23.85" hidden="false" customHeight="false" outlineLevel="0" collapsed="false">
      <c r="A24" s="11" t="n">
        <v>25</v>
      </c>
      <c r="B24" s="11" t="s">
        <v>1812</v>
      </c>
      <c r="C24" s="11" t="s">
        <v>19</v>
      </c>
      <c r="D24" s="11" t="n">
        <v>1</v>
      </c>
      <c r="E24" s="11" t="n">
        <v>0</v>
      </c>
      <c r="F24" s="11" t="s">
        <v>1813</v>
      </c>
      <c r="G24" s="11" t="s">
        <v>1814</v>
      </c>
      <c r="H24" s="11" t="s">
        <v>1815</v>
      </c>
    </row>
    <row r="25" customFormat="false" ht="23.85" hidden="false" customHeight="false" outlineLevel="0" collapsed="false">
      <c r="A25" s="11" t="n">
        <v>27</v>
      </c>
      <c r="B25" s="11" t="s">
        <v>1812</v>
      </c>
      <c r="C25" s="11" t="s">
        <v>1031</v>
      </c>
      <c r="D25" s="11" t="n">
        <v>0</v>
      </c>
      <c r="E25" s="11" t="n">
        <v>1</v>
      </c>
      <c r="F25" s="11" t="s">
        <v>1813</v>
      </c>
      <c r="G25" s="11" t="s">
        <v>1814</v>
      </c>
      <c r="H25" s="11" t="s">
        <v>1815</v>
      </c>
    </row>
    <row r="26" customFormat="false" ht="23.85" hidden="false" customHeight="false" outlineLevel="0" collapsed="false">
      <c r="A26" s="11" t="n">
        <v>27</v>
      </c>
      <c r="B26" s="11" t="s">
        <v>1812</v>
      </c>
      <c r="C26" s="11" t="s">
        <v>1032</v>
      </c>
      <c r="D26" s="11" t="n">
        <v>0</v>
      </c>
      <c r="E26" s="11" t="n">
        <v>1</v>
      </c>
      <c r="F26" s="11" t="s">
        <v>1813</v>
      </c>
      <c r="G26" s="11" t="s">
        <v>1814</v>
      </c>
      <c r="H26" s="11" t="s">
        <v>1815</v>
      </c>
    </row>
    <row r="27" customFormat="false" ht="23.85" hidden="false" customHeight="false" outlineLevel="0" collapsed="false">
      <c r="A27" s="11" t="n">
        <v>27</v>
      </c>
      <c r="B27" s="11" t="s">
        <v>1812</v>
      </c>
      <c r="C27" s="11" t="s">
        <v>1033</v>
      </c>
      <c r="D27" s="11" t="n">
        <v>0</v>
      </c>
      <c r="E27" s="11" t="n">
        <v>1</v>
      </c>
      <c r="F27" s="11" t="s">
        <v>1813</v>
      </c>
      <c r="G27" s="11" t="s">
        <v>1814</v>
      </c>
      <c r="H27" s="11" t="s">
        <v>1815</v>
      </c>
    </row>
    <row r="28" customFormat="false" ht="23.85" hidden="false" customHeight="false" outlineLevel="0" collapsed="false">
      <c r="A28" s="11" t="n">
        <v>28</v>
      </c>
      <c r="B28" s="11" t="s">
        <v>1812</v>
      </c>
      <c r="C28" s="11" t="s">
        <v>1031</v>
      </c>
      <c r="D28" s="11" t="n">
        <v>0</v>
      </c>
      <c r="E28" s="11" t="n">
        <v>1</v>
      </c>
      <c r="F28" s="11" t="s">
        <v>1813</v>
      </c>
      <c r="G28" s="11" t="s">
        <v>1814</v>
      </c>
      <c r="H28" s="11" t="s">
        <v>1815</v>
      </c>
    </row>
    <row r="29" customFormat="false" ht="23.85" hidden="false" customHeight="false" outlineLevel="0" collapsed="false">
      <c r="A29" s="11" t="n">
        <v>29</v>
      </c>
      <c r="B29" s="11" t="s">
        <v>1812</v>
      </c>
      <c r="C29" s="11" t="s">
        <v>1031</v>
      </c>
      <c r="D29" s="11" t="n">
        <v>0</v>
      </c>
      <c r="E29" s="11" t="n">
        <v>1</v>
      </c>
      <c r="F29" s="11" t="s">
        <v>1813</v>
      </c>
      <c r="G29" s="11" t="s">
        <v>1814</v>
      </c>
      <c r="H29" s="11" t="s">
        <v>1815</v>
      </c>
    </row>
    <row r="30" customFormat="false" ht="23.85" hidden="false" customHeight="false" outlineLevel="0" collapsed="false">
      <c r="A30" s="11" t="n">
        <v>29</v>
      </c>
      <c r="B30" s="11" t="s">
        <v>1812</v>
      </c>
      <c r="C30" s="11" t="s">
        <v>1032</v>
      </c>
      <c r="D30" s="11" t="n">
        <v>0</v>
      </c>
      <c r="E30" s="11" t="n">
        <v>1</v>
      </c>
      <c r="F30" s="11" t="s">
        <v>1813</v>
      </c>
      <c r="G30" s="11" t="s">
        <v>1814</v>
      </c>
      <c r="H30" s="11" t="s">
        <v>1815</v>
      </c>
    </row>
    <row r="31" customFormat="false" ht="23.85" hidden="false" customHeight="false" outlineLevel="0" collapsed="false">
      <c r="A31" s="11" t="n">
        <v>29</v>
      </c>
      <c r="B31" s="11" t="s">
        <v>1812</v>
      </c>
      <c r="C31" s="11" t="s">
        <v>1033</v>
      </c>
      <c r="D31" s="11" t="n">
        <v>1</v>
      </c>
      <c r="E31" s="11" t="n">
        <v>0</v>
      </c>
      <c r="F31" s="11" t="s">
        <v>1813</v>
      </c>
      <c r="G31" s="11" t="s">
        <v>1814</v>
      </c>
      <c r="H31" s="11" t="s">
        <v>1815</v>
      </c>
    </row>
    <row r="32" customFormat="false" ht="23.85" hidden="false" customHeight="false" outlineLevel="0" collapsed="false">
      <c r="A32" s="11" t="n">
        <v>31</v>
      </c>
      <c r="B32" s="11" t="s">
        <v>1812</v>
      </c>
      <c r="C32" s="11" t="s">
        <v>21</v>
      </c>
      <c r="D32" s="11" t="n">
        <v>1</v>
      </c>
      <c r="E32" s="11" t="n">
        <v>0</v>
      </c>
      <c r="F32" s="11" t="s">
        <v>1813</v>
      </c>
      <c r="G32" s="11" t="s">
        <v>1814</v>
      </c>
      <c r="H32" s="11" t="s">
        <v>1815</v>
      </c>
    </row>
    <row r="33" customFormat="false" ht="23.85" hidden="false" customHeight="false" outlineLevel="0" collapsed="false">
      <c r="A33" s="11" t="n">
        <v>33</v>
      </c>
      <c r="B33" s="11" t="s">
        <v>1812</v>
      </c>
      <c r="C33" s="11" t="s">
        <v>21</v>
      </c>
      <c r="D33" s="11" t="n">
        <v>0</v>
      </c>
      <c r="E33" s="11" t="n">
        <v>1</v>
      </c>
      <c r="F33" s="11" t="s">
        <v>1813</v>
      </c>
      <c r="G33" s="11" t="s">
        <v>1814</v>
      </c>
      <c r="H33" s="11" t="s">
        <v>1815</v>
      </c>
    </row>
    <row r="34" customFormat="false" ht="23.85" hidden="false" customHeight="false" outlineLevel="0" collapsed="false">
      <c r="A34" s="11" t="n">
        <v>34</v>
      </c>
      <c r="B34" s="11" t="s">
        <v>1812</v>
      </c>
      <c r="C34" s="11" t="s">
        <v>1032</v>
      </c>
      <c r="D34" s="11" t="n">
        <v>0</v>
      </c>
      <c r="E34" s="11" t="n">
        <v>1</v>
      </c>
      <c r="F34" s="11" t="s">
        <v>1813</v>
      </c>
      <c r="G34" s="11" t="s">
        <v>1814</v>
      </c>
      <c r="H34" s="11" t="s">
        <v>1815</v>
      </c>
    </row>
    <row r="35" customFormat="false" ht="23.85" hidden="false" customHeight="false" outlineLevel="0" collapsed="false">
      <c r="A35" s="11" t="n">
        <v>35</v>
      </c>
      <c r="B35" s="11" t="s">
        <v>1812</v>
      </c>
      <c r="C35" s="11" t="s">
        <v>1031</v>
      </c>
      <c r="D35" s="11" t="n">
        <v>1</v>
      </c>
      <c r="E35" s="11" t="n">
        <v>0</v>
      </c>
      <c r="F35" s="11" t="s">
        <v>1813</v>
      </c>
      <c r="G35" s="11" t="s">
        <v>1814</v>
      </c>
      <c r="H35" s="11" t="s">
        <v>1815</v>
      </c>
    </row>
    <row r="36" customFormat="false" ht="23.85" hidden="false" customHeight="false" outlineLevel="0" collapsed="false">
      <c r="A36" s="11" t="n">
        <v>36</v>
      </c>
      <c r="B36" s="11" t="s">
        <v>1812</v>
      </c>
      <c r="C36" s="11" t="s">
        <v>1032</v>
      </c>
      <c r="D36" s="11" t="n">
        <v>1</v>
      </c>
      <c r="E36" s="11" t="n">
        <v>0</v>
      </c>
      <c r="F36" s="11" t="s">
        <v>1813</v>
      </c>
      <c r="G36" s="11" t="s">
        <v>1814</v>
      </c>
      <c r="H36" s="11" t="s">
        <v>1815</v>
      </c>
    </row>
    <row r="37" customFormat="false" ht="23.85" hidden="false" customHeight="false" outlineLevel="0" collapsed="false">
      <c r="A37" s="11" t="n">
        <v>38</v>
      </c>
      <c r="B37" s="11" t="s">
        <v>1812</v>
      </c>
      <c r="C37" s="11" t="s">
        <v>21</v>
      </c>
      <c r="D37" s="11" t="n">
        <v>0</v>
      </c>
      <c r="E37" s="11" t="n">
        <v>1</v>
      </c>
      <c r="F37" s="11" t="s">
        <v>1813</v>
      </c>
      <c r="G37" s="11" t="s">
        <v>1814</v>
      </c>
      <c r="H37" s="11" t="s">
        <v>1815</v>
      </c>
    </row>
    <row r="38" customFormat="false" ht="23.85" hidden="false" customHeight="false" outlineLevel="0" collapsed="false">
      <c r="A38" s="11" t="n">
        <v>39</v>
      </c>
      <c r="B38" s="11" t="s">
        <v>1812</v>
      </c>
      <c r="C38" s="11" t="s">
        <v>19</v>
      </c>
      <c r="D38" s="11" t="n">
        <v>1</v>
      </c>
      <c r="E38" s="11" t="n">
        <v>0</v>
      </c>
      <c r="F38" s="11" t="s">
        <v>1813</v>
      </c>
      <c r="G38" s="11" t="s">
        <v>1814</v>
      </c>
      <c r="H38" s="11" t="s">
        <v>1815</v>
      </c>
    </row>
    <row r="39" customFormat="false" ht="23.85" hidden="false" customHeight="false" outlineLevel="0" collapsed="false">
      <c r="A39" s="11" t="n">
        <v>40</v>
      </c>
      <c r="B39" s="11" t="s">
        <v>1812</v>
      </c>
      <c r="C39" s="11" t="s">
        <v>19</v>
      </c>
      <c r="D39" s="11" t="n">
        <v>1</v>
      </c>
      <c r="E39" s="11" t="n">
        <v>0</v>
      </c>
      <c r="F39" s="11" t="s">
        <v>1813</v>
      </c>
      <c r="G39" s="11" t="s">
        <v>1814</v>
      </c>
      <c r="H39" s="11" t="s">
        <v>1815</v>
      </c>
    </row>
    <row r="40" customFormat="false" ht="23.85" hidden="false" customHeight="false" outlineLevel="0" collapsed="false">
      <c r="A40" s="11" t="n">
        <v>41</v>
      </c>
      <c r="B40" s="11" t="s">
        <v>1812</v>
      </c>
      <c r="C40" s="11" t="s">
        <v>19</v>
      </c>
      <c r="D40" s="11" t="n">
        <v>0</v>
      </c>
      <c r="E40" s="11" t="n">
        <v>1</v>
      </c>
      <c r="F40" s="11" t="s">
        <v>1813</v>
      </c>
      <c r="G40" s="11" t="s">
        <v>1814</v>
      </c>
      <c r="H40" s="11" t="s">
        <v>1815</v>
      </c>
    </row>
    <row r="41" customFormat="false" ht="23.85" hidden="false" customHeight="false" outlineLevel="0" collapsed="false">
      <c r="A41" s="11" t="n">
        <v>42</v>
      </c>
      <c r="B41" s="11" t="s">
        <v>1812</v>
      </c>
      <c r="C41" s="11" t="s">
        <v>1031</v>
      </c>
      <c r="D41" s="11" t="n">
        <v>0</v>
      </c>
      <c r="E41" s="11" t="n">
        <v>1</v>
      </c>
      <c r="F41" s="11" t="s">
        <v>1813</v>
      </c>
      <c r="G41" s="11" t="s">
        <v>1814</v>
      </c>
      <c r="H41" s="11" t="s">
        <v>1815</v>
      </c>
    </row>
    <row r="42" customFormat="false" ht="23.85" hidden="false" customHeight="false" outlineLevel="0" collapsed="false">
      <c r="A42" s="11" t="n">
        <v>42</v>
      </c>
      <c r="B42" s="11" t="s">
        <v>1812</v>
      </c>
      <c r="C42" s="11" t="s">
        <v>1032</v>
      </c>
      <c r="D42" s="11" t="n">
        <v>0</v>
      </c>
      <c r="E42" s="11" t="n">
        <v>1</v>
      </c>
      <c r="F42" s="11" t="s">
        <v>1813</v>
      </c>
      <c r="G42" s="11" t="s">
        <v>1814</v>
      </c>
      <c r="H42" s="11" t="s">
        <v>1815</v>
      </c>
    </row>
    <row r="43" customFormat="false" ht="23.85" hidden="false" customHeight="false" outlineLevel="0" collapsed="false">
      <c r="A43" s="11" t="n">
        <v>43</v>
      </c>
      <c r="B43" s="11" t="s">
        <v>1812</v>
      </c>
      <c r="C43" s="11" t="s">
        <v>1031</v>
      </c>
      <c r="D43" s="11" t="n">
        <v>1</v>
      </c>
      <c r="E43" s="11" t="n">
        <v>0</v>
      </c>
      <c r="F43" s="11" t="s">
        <v>1813</v>
      </c>
      <c r="G43" s="11" t="s">
        <v>1814</v>
      </c>
      <c r="H43" s="11" t="s">
        <v>1815</v>
      </c>
    </row>
    <row r="44" customFormat="false" ht="23.85" hidden="false" customHeight="false" outlineLevel="0" collapsed="false">
      <c r="A44" s="11" t="n">
        <v>45</v>
      </c>
      <c r="B44" s="11" t="s">
        <v>1812</v>
      </c>
      <c r="C44" s="11" t="s">
        <v>1033</v>
      </c>
      <c r="D44" s="11" t="n">
        <v>1</v>
      </c>
      <c r="E44" s="11" t="n">
        <v>0</v>
      </c>
      <c r="F44" s="11" t="s">
        <v>1813</v>
      </c>
      <c r="G44" s="11" t="s">
        <v>1814</v>
      </c>
      <c r="H44" s="11" t="s">
        <v>1815</v>
      </c>
    </row>
    <row r="45" customFormat="false" ht="23.85" hidden="false" customHeight="false" outlineLevel="0" collapsed="false">
      <c r="A45" s="11" t="n">
        <v>47</v>
      </c>
      <c r="B45" s="11" t="s">
        <v>1812</v>
      </c>
      <c r="C45" s="11" t="s">
        <v>1039</v>
      </c>
      <c r="D45" s="11" t="n">
        <v>0</v>
      </c>
      <c r="E45" s="11" t="n">
        <v>1</v>
      </c>
      <c r="F45" s="11" t="s">
        <v>1813</v>
      </c>
      <c r="G45" s="11" t="s">
        <v>1814</v>
      </c>
      <c r="H45" s="11" t="s">
        <v>1815</v>
      </c>
    </row>
    <row r="46" customFormat="false" ht="23.85" hidden="false" customHeight="false" outlineLevel="0" collapsed="false">
      <c r="A46" s="11" t="n">
        <v>48</v>
      </c>
      <c r="B46" s="11" t="s">
        <v>1812</v>
      </c>
      <c r="C46" s="11" t="s">
        <v>1031</v>
      </c>
      <c r="D46" s="11" t="n">
        <v>0</v>
      </c>
      <c r="E46" s="11" t="n">
        <v>1</v>
      </c>
      <c r="F46" s="11" t="s">
        <v>1813</v>
      </c>
      <c r="G46" s="11" t="s">
        <v>1814</v>
      </c>
      <c r="H46" s="11" t="s">
        <v>1815</v>
      </c>
    </row>
    <row r="47" customFormat="false" ht="23.85" hidden="false" customHeight="false" outlineLevel="0" collapsed="false">
      <c r="A47" s="11" t="n">
        <v>48</v>
      </c>
      <c r="B47" s="11" t="s">
        <v>1812</v>
      </c>
      <c r="C47" s="11" t="s">
        <v>1032</v>
      </c>
      <c r="D47" s="11" t="n">
        <v>0</v>
      </c>
      <c r="E47" s="11" t="n">
        <v>1</v>
      </c>
      <c r="F47" s="11" t="s">
        <v>1813</v>
      </c>
      <c r="G47" s="11" t="s">
        <v>1814</v>
      </c>
      <c r="H47" s="11" t="s">
        <v>1815</v>
      </c>
    </row>
    <row r="48" customFormat="false" ht="23.85" hidden="false" customHeight="false" outlineLevel="0" collapsed="false">
      <c r="A48" s="11" t="n">
        <v>48</v>
      </c>
      <c r="B48" s="11" t="s">
        <v>1812</v>
      </c>
      <c r="C48" s="11" t="s">
        <v>1039</v>
      </c>
      <c r="D48" s="11" t="n">
        <v>1</v>
      </c>
      <c r="E48" s="11" t="n">
        <v>0</v>
      </c>
      <c r="F48" s="11" t="s">
        <v>1813</v>
      </c>
      <c r="G48" s="11" t="s">
        <v>1814</v>
      </c>
      <c r="H48" s="11" t="s">
        <v>1815</v>
      </c>
    </row>
    <row r="49" customFormat="false" ht="23.85" hidden="false" customHeight="false" outlineLevel="0" collapsed="false">
      <c r="A49" s="11" t="n">
        <v>56</v>
      </c>
      <c r="B49" s="11" t="s">
        <v>1812</v>
      </c>
      <c r="C49" s="11" t="s">
        <v>1031</v>
      </c>
      <c r="D49" s="11" t="n">
        <v>1</v>
      </c>
      <c r="E49" s="11" t="n">
        <v>0</v>
      </c>
      <c r="F49" s="11" t="s">
        <v>1813</v>
      </c>
      <c r="G49" s="11" t="s">
        <v>1814</v>
      </c>
      <c r="H49" s="11" t="s">
        <v>1815</v>
      </c>
    </row>
    <row r="50" customFormat="false" ht="23.85" hidden="false" customHeight="false" outlineLevel="0" collapsed="false">
      <c r="A50" s="11" t="n">
        <v>57</v>
      </c>
      <c r="B50" s="11" t="s">
        <v>1812</v>
      </c>
      <c r="C50" s="11" t="s">
        <v>19</v>
      </c>
      <c r="D50" s="11" t="n">
        <v>0</v>
      </c>
      <c r="E50" s="11" t="n">
        <v>1</v>
      </c>
      <c r="F50" s="11" t="s">
        <v>1813</v>
      </c>
      <c r="G50" s="11" t="s">
        <v>1814</v>
      </c>
      <c r="H50" s="11" t="s">
        <v>1815</v>
      </c>
    </row>
    <row r="51" customFormat="false" ht="23.85" hidden="false" customHeight="false" outlineLevel="0" collapsed="false">
      <c r="A51" s="11" t="n">
        <v>58</v>
      </c>
      <c r="B51" s="11" t="s">
        <v>1812</v>
      </c>
      <c r="C51" s="11" t="s">
        <v>1031</v>
      </c>
      <c r="D51" s="11" t="n">
        <v>0</v>
      </c>
      <c r="E51" s="11" t="n">
        <v>1</v>
      </c>
      <c r="F51" s="11" t="s">
        <v>1813</v>
      </c>
      <c r="G51" s="11" t="s">
        <v>1814</v>
      </c>
      <c r="H51" s="11" t="s">
        <v>1815</v>
      </c>
    </row>
    <row r="52" customFormat="false" ht="23.85" hidden="false" customHeight="false" outlineLevel="0" collapsed="false">
      <c r="A52" s="11" t="n">
        <v>58</v>
      </c>
      <c r="B52" s="11" t="s">
        <v>1812</v>
      </c>
      <c r="C52" s="11" t="s">
        <v>1032</v>
      </c>
      <c r="D52" s="11" t="n">
        <v>1</v>
      </c>
      <c r="E52" s="11" t="n">
        <v>0</v>
      </c>
      <c r="F52" s="11" t="s">
        <v>1813</v>
      </c>
      <c r="G52" s="11" t="s">
        <v>1814</v>
      </c>
      <c r="H52" s="11" t="s">
        <v>1815</v>
      </c>
    </row>
    <row r="53" customFormat="false" ht="23.85" hidden="false" customHeight="false" outlineLevel="0" collapsed="false">
      <c r="A53" s="11" t="n">
        <v>58</v>
      </c>
      <c r="B53" s="11" t="s">
        <v>1812</v>
      </c>
      <c r="C53" s="11" t="s">
        <v>1033</v>
      </c>
      <c r="D53" s="11" t="n">
        <v>0</v>
      </c>
      <c r="E53" s="11" t="n">
        <v>1</v>
      </c>
      <c r="F53" s="11" t="s">
        <v>1813</v>
      </c>
      <c r="G53" s="11" t="s">
        <v>1814</v>
      </c>
      <c r="H53" s="11" t="s">
        <v>1815</v>
      </c>
    </row>
    <row r="54" customFormat="false" ht="23.85" hidden="false" customHeight="false" outlineLevel="0" collapsed="false">
      <c r="A54" s="11" t="s">
        <v>1816</v>
      </c>
      <c r="B54" s="11" t="s">
        <v>1817</v>
      </c>
      <c r="C54" s="11" t="s">
        <v>1818</v>
      </c>
      <c r="D54" s="11" t="n">
        <v>52</v>
      </c>
      <c r="E54" s="11" t="n">
        <v>0</v>
      </c>
      <c r="F54" s="11" t="s">
        <v>1813</v>
      </c>
      <c r="G54" s="11" t="s">
        <v>1819</v>
      </c>
      <c r="H54" s="11" t="s">
        <v>30</v>
      </c>
    </row>
    <row r="55" customFormat="false" ht="23.85" hidden="false" customHeight="false" outlineLevel="0" collapsed="false">
      <c r="A55" s="11" t="s">
        <v>1816</v>
      </c>
      <c r="B55" s="11" t="s">
        <v>1817</v>
      </c>
      <c r="C55" s="11" t="s">
        <v>1820</v>
      </c>
      <c r="D55" s="11" t="s">
        <v>1821</v>
      </c>
      <c r="E55" s="11" t="s">
        <v>1822</v>
      </c>
      <c r="F55" s="11" t="s">
        <v>1823</v>
      </c>
      <c r="G55" s="11" t="s">
        <v>1824</v>
      </c>
      <c r="H55" s="11" t="s">
        <v>30</v>
      </c>
    </row>
    <row r="56" customFormat="false" ht="23.85" hidden="false" customHeight="false" outlineLevel="0" collapsed="false">
      <c r="A56" s="11" t="s">
        <v>1816</v>
      </c>
      <c r="B56" s="11" t="s">
        <v>1817</v>
      </c>
      <c r="C56" s="11" t="s">
        <v>1825</v>
      </c>
      <c r="D56" s="11" t="s">
        <v>1826</v>
      </c>
      <c r="E56" s="11" t="s">
        <v>1822</v>
      </c>
      <c r="F56" s="11" t="s">
        <v>1827</v>
      </c>
      <c r="G56" s="11" t="s">
        <v>1828</v>
      </c>
      <c r="H56" s="11" t="s">
        <v>30</v>
      </c>
    </row>
    <row r="57" customFormat="false" ht="23.85" hidden="false" customHeight="false" outlineLevel="0" collapsed="false">
      <c r="A57" s="11" t="s">
        <v>1816</v>
      </c>
      <c r="B57" s="11" t="s">
        <v>1817</v>
      </c>
      <c r="C57" s="11" t="s">
        <v>1829</v>
      </c>
      <c r="D57" s="11" t="s">
        <v>1830</v>
      </c>
      <c r="E57" s="11" t="s">
        <v>1822</v>
      </c>
      <c r="F57" s="11" t="s">
        <v>1831</v>
      </c>
      <c r="G57" s="11" t="s">
        <v>1832</v>
      </c>
      <c r="H57" s="11" t="s">
        <v>30</v>
      </c>
    </row>
    <row r="58" customFormat="false" ht="35.05" hidden="false" customHeight="false" outlineLevel="0" collapsed="false">
      <c r="A58" s="11" t="n">
        <v>59</v>
      </c>
      <c r="B58" s="11" t="s">
        <v>1817</v>
      </c>
      <c r="C58" s="11" t="s">
        <v>1833</v>
      </c>
      <c r="D58" s="11" t="s">
        <v>1834</v>
      </c>
      <c r="E58" s="11" t="s">
        <v>1835</v>
      </c>
      <c r="F58" s="11" t="s">
        <v>794</v>
      </c>
      <c r="G58" s="11" t="s">
        <v>1836</v>
      </c>
      <c r="H58" s="11" t="s">
        <v>30</v>
      </c>
    </row>
    <row r="59" customFormat="false" ht="23.85" hidden="false" customHeight="false" outlineLevel="0" collapsed="false">
      <c r="A59" s="11" t="n">
        <v>59</v>
      </c>
      <c r="B59" s="11" t="s">
        <v>1837</v>
      </c>
      <c r="C59" s="11" t="s">
        <v>1838</v>
      </c>
      <c r="D59" s="11" t="s">
        <v>1839</v>
      </c>
      <c r="E59" s="11" t="s">
        <v>1840</v>
      </c>
      <c r="F59" s="11" t="s">
        <v>1841</v>
      </c>
      <c r="G59" s="11" t="s">
        <v>1842</v>
      </c>
      <c r="H59" s="11" t="s">
        <v>30</v>
      </c>
    </row>
    <row r="60" customFormat="false" ht="23.85" hidden="false" customHeight="false" outlineLevel="0" collapsed="false">
      <c r="A60" s="11" t="n">
        <v>59</v>
      </c>
      <c r="B60" s="11" t="s">
        <v>1817</v>
      </c>
      <c r="C60" s="11" t="s">
        <v>1843</v>
      </c>
      <c r="D60" s="11" t="s">
        <v>1844</v>
      </c>
      <c r="E60" s="11" t="s">
        <v>1845</v>
      </c>
      <c r="F60" s="11" t="s">
        <v>1846</v>
      </c>
      <c r="G60" s="11" t="s">
        <v>1847</v>
      </c>
      <c r="H60" s="11" t="s">
        <v>30</v>
      </c>
    </row>
    <row r="61" customFormat="false" ht="15" hidden="false" customHeight="false" outlineLevel="0" collapsed="false">
      <c r="A61" s="11"/>
      <c r="B61" s="11"/>
      <c r="C61" s="11"/>
      <c r="D61" s="11"/>
      <c r="E61" s="11"/>
      <c r="F61" s="11"/>
      <c r="G61" s="11"/>
      <c r="H61" s="11"/>
    </row>
    <row r="62" customFormat="false" ht="15" hidden="false" customHeight="false" outlineLevel="0" collapsed="false">
      <c r="A62" s="11"/>
      <c r="B62" s="11"/>
      <c r="C62" s="11"/>
      <c r="D62" s="11"/>
      <c r="E62" s="11"/>
      <c r="F62" s="11"/>
      <c r="G62" s="11"/>
      <c r="H62" s="11"/>
    </row>
    <row r="63" customFormat="false" ht="15" hidden="false" customHeight="false" outlineLevel="0" collapsed="false">
      <c r="A63" s="11"/>
      <c r="B63" s="11"/>
      <c r="C63" s="11"/>
      <c r="D63" s="11"/>
      <c r="E63" s="11"/>
      <c r="F63" s="11"/>
      <c r="G63" s="11"/>
      <c r="H63" s="11"/>
    </row>
    <row r="64" customFormat="false" ht="15" hidden="false" customHeight="false" outlineLevel="0" collapsed="false">
      <c r="A64" s="11"/>
      <c r="B64" s="11"/>
      <c r="C64" s="11"/>
      <c r="D64" s="11"/>
      <c r="E64" s="11"/>
      <c r="F64" s="11"/>
      <c r="G64" s="11"/>
      <c r="H64" s="11"/>
    </row>
    <row r="65" customFormat="false" ht="15" hidden="false" customHeight="false" outlineLevel="0" collapsed="false">
      <c r="A65" s="11"/>
      <c r="B65" s="11"/>
      <c r="C65" s="11"/>
      <c r="D65" s="11"/>
      <c r="E65" s="11"/>
      <c r="F65" s="11"/>
      <c r="G65" s="11"/>
      <c r="H65" s="11"/>
    </row>
    <row r="66" customFormat="false" ht="15" hidden="false" customHeight="false" outlineLevel="0" collapsed="false">
      <c r="A66" s="11"/>
      <c r="B66" s="11"/>
      <c r="C66" s="11"/>
      <c r="D66" s="11"/>
      <c r="E66" s="11"/>
      <c r="F66" s="11"/>
      <c r="G66" s="11"/>
      <c r="H66" s="11"/>
    </row>
    <row r="67" customFormat="false" ht="15" hidden="false" customHeight="false" outlineLevel="0" collapsed="false">
      <c r="A67" s="11"/>
      <c r="B67" s="11"/>
      <c r="C67" s="11"/>
      <c r="D67" s="11"/>
      <c r="E67" s="11"/>
      <c r="F67" s="11"/>
      <c r="G67" s="11"/>
      <c r="H67" s="11"/>
    </row>
    <row r="68" customFormat="false" ht="15" hidden="false" customHeight="false" outlineLevel="0" collapsed="false">
      <c r="A68" s="11"/>
      <c r="B68" s="11"/>
      <c r="C68" s="11"/>
      <c r="D68" s="11"/>
      <c r="E68" s="11"/>
      <c r="F68" s="11"/>
      <c r="G68" s="11"/>
      <c r="H68" s="11"/>
    </row>
    <row r="69" customFormat="false" ht="15" hidden="false" customHeight="false" outlineLevel="0" collapsed="false">
      <c r="A69" s="11"/>
      <c r="B69" s="11"/>
      <c r="C69" s="11"/>
      <c r="D69" s="11"/>
      <c r="E69" s="11"/>
      <c r="F69" s="11"/>
      <c r="G69" s="11"/>
      <c r="H69" s="11"/>
    </row>
    <row r="70" customFormat="false" ht="15" hidden="false" customHeight="false" outlineLevel="0" collapsed="false">
      <c r="A70" s="11"/>
      <c r="B70" s="11"/>
      <c r="C70" s="11"/>
      <c r="D70" s="11"/>
      <c r="E70" s="11"/>
      <c r="F70" s="11"/>
      <c r="G70" s="11"/>
      <c r="H70" s="11"/>
    </row>
    <row r="71" customFormat="false" ht="15" hidden="false" customHeight="false" outlineLevel="0" collapsed="false">
      <c r="A71" s="11"/>
      <c r="B71" s="11"/>
      <c r="C71" s="11"/>
      <c r="D71" s="11"/>
      <c r="E71" s="11"/>
      <c r="F71" s="11"/>
      <c r="G71" s="11"/>
      <c r="H71" s="11"/>
    </row>
    <row r="72" customFormat="false" ht="15" hidden="false" customHeight="false" outlineLevel="0" collapsed="false">
      <c r="A72" s="11"/>
      <c r="B72" s="11"/>
      <c r="C72" s="11"/>
      <c r="D72" s="11"/>
      <c r="E72" s="11"/>
      <c r="F72" s="11"/>
      <c r="G72" s="11"/>
      <c r="H72" s="11"/>
    </row>
    <row r="73" customFormat="false" ht="15" hidden="false" customHeight="false" outlineLevel="0" collapsed="false">
      <c r="A73" s="11"/>
      <c r="B73" s="11"/>
      <c r="C73" s="11"/>
      <c r="D73" s="11"/>
      <c r="E73" s="11"/>
      <c r="F73" s="11"/>
      <c r="G73" s="11"/>
      <c r="H73" s="11"/>
    </row>
    <row r="74" customFormat="false" ht="15" hidden="false" customHeight="false" outlineLevel="0" collapsed="false">
      <c r="A74" s="11"/>
      <c r="B74" s="11"/>
      <c r="C74" s="11"/>
      <c r="D74" s="11"/>
      <c r="E74" s="11"/>
      <c r="F74" s="11"/>
      <c r="G74" s="11"/>
      <c r="H74" s="11"/>
    </row>
    <row r="75" customFormat="false" ht="15" hidden="false" customHeight="false" outlineLevel="0" collapsed="false">
      <c r="A75" s="11"/>
      <c r="B75" s="11"/>
      <c r="C75" s="11"/>
      <c r="D75" s="11"/>
      <c r="E75" s="11"/>
      <c r="F75" s="11"/>
      <c r="G75" s="11"/>
      <c r="H75" s="11"/>
    </row>
    <row r="76" customFormat="false" ht="15" hidden="false" customHeight="false" outlineLevel="0" collapsed="false">
      <c r="A76" s="11"/>
      <c r="B76" s="11"/>
      <c r="C76" s="11"/>
      <c r="D76" s="11"/>
      <c r="E76" s="11"/>
      <c r="F76" s="11"/>
      <c r="G76" s="11"/>
      <c r="H76" s="11"/>
    </row>
    <row r="77" customFormat="false" ht="15" hidden="false" customHeight="false" outlineLevel="0" collapsed="false">
      <c r="A77" s="11"/>
      <c r="B77" s="11"/>
      <c r="C77" s="11"/>
      <c r="D77" s="11"/>
      <c r="E77" s="11"/>
      <c r="F77" s="11"/>
      <c r="G77" s="11"/>
      <c r="H77" s="11"/>
    </row>
    <row r="78" customFormat="false" ht="15" hidden="false" customHeight="false" outlineLevel="0" collapsed="false">
      <c r="A78" s="11"/>
      <c r="B78" s="11"/>
      <c r="C78" s="11"/>
      <c r="D78" s="11"/>
      <c r="E78" s="11"/>
      <c r="F78" s="11"/>
      <c r="G78" s="11"/>
      <c r="H78" s="11"/>
    </row>
    <row r="79" customFormat="false" ht="15" hidden="false" customHeight="false" outlineLevel="0" collapsed="false">
      <c r="A79" s="11"/>
      <c r="B79" s="11"/>
      <c r="C79" s="11"/>
      <c r="D79" s="11"/>
      <c r="E79" s="11"/>
      <c r="F79" s="11"/>
      <c r="G79" s="11"/>
      <c r="H79" s="11"/>
    </row>
    <row r="80" customFormat="false" ht="15" hidden="false" customHeight="false" outlineLevel="0" collapsed="false">
      <c r="A80" s="11"/>
      <c r="B80" s="11"/>
      <c r="C80" s="11"/>
      <c r="D80" s="11"/>
      <c r="E80" s="11"/>
      <c r="F80" s="11"/>
      <c r="G80" s="11"/>
      <c r="H80" s="11"/>
    </row>
    <row r="81" customFormat="false" ht="15" hidden="false" customHeight="false" outlineLevel="0" collapsed="false">
      <c r="A81" s="11"/>
      <c r="B81" s="11"/>
      <c r="C81" s="11"/>
      <c r="D81" s="11"/>
      <c r="E81" s="11"/>
      <c r="F81" s="11"/>
      <c r="G81" s="11"/>
      <c r="H81" s="11"/>
    </row>
    <row r="82" customFormat="false" ht="15" hidden="false" customHeight="false" outlineLevel="0" collapsed="false">
      <c r="A82" s="11"/>
      <c r="B82" s="11"/>
      <c r="C82" s="11"/>
      <c r="D82" s="11"/>
      <c r="E82" s="11"/>
      <c r="F82" s="11"/>
      <c r="G82" s="11"/>
      <c r="H82" s="11"/>
    </row>
    <row r="83" customFormat="false" ht="15" hidden="false" customHeight="false" outlineLevel="0" collapsed="false">
      <c r="A83" s="11"/>
      <c r="B83" s="11"/>
      <c r="C83" s="11"/>
      <c r="D83" s="11"/>
      <c r="E83" s="11"/>
      <c r="F83" s="11"/>
      <c r="G83" s="11"/>
      <c r="H83" s="11"/>
    </row>
    <row r="84" customFormat="false" ht="15" hidden="false" customHeight="false" outlineLevel="0" collapsed="false">
      <c r="A84" s="11"/>
      <c r="B84" s="11"/>
      <c r="C84" s="11"/>
      <c r="D84" s="11"/>
      <c r="E84" s="11"/>
      <c r="F84" s="11"/>
      <c r="G84" s="11"/>
      <c r="H84" s="11"/>
    </row>
    <row r="85" customFormat="false" ht="15" hidden="false" customHeight="false" outlineLevel="0" collapsed="false">
      <c r="A85" s="11"/>
      <c r="B85" s="11"/>
      <c r="C85" s="11"/>
      <c r="D85" s="11"/>
      <c r="E85" s="11"/>
      <c r="F85" s="11"/>
      <c r="G85" s="11"/>
      <c r="H85" s="11"/>
    </row>
    <row r="86" customFormat="false" ht="15" hidden="false" customHeight="false" outlineLevel="0" collapsed="false">
      <c r="A86" s="11"/>
      <c r="B86" s="11"/>
      <c r="C86" s="11"/>
      <c r="D86" s="11"/>
      <c r="E86" s="11"/>
      <c r="F86" s="11"/>
      <c r="G86" s="11"/>
      <c r="H86" s="11"/>
    </row>
    <row r="87" customFormat="false" ht="15" hidden="false" customHeight="false" outlineLevel="0" collapsed="false">
      <c r="A87" s="11"/>
      <c r="B87" s="11"/>
      <c r="C87" s="11"/>
      <c r="D87" s="11"/>
      <c r="E87" s="11"/>
      <c r="F87" s="11"/>
      <c r="G87" s="11"/>
      <c r="H87" s="11"/>
    </row>
    <row r="88" customFormat="false" ht="15" hidden="false" customHeight="false" outlineLevel="0" collapsed="false">
      <c r="A88" s="11"/>
      <c r="B88" s="11"/>
      <c r="C88" s="11"/>
      <c r="D88" s="11"/>
      <c r="E88" s="11"/>
      <c r="F88" s="11"/>
      <c r="G88" s="11"/>
      <c r="H88" s="11"/>
    </row>
    <row r="89" customFormat="false" ht="15" hidden="false" customHeight="false" outlineLevel="0" collapsed="false">
      <c r="A89" s="11"/>
      <c r="B89" s="11"/>
      <c r="C89" s="11"/>
      <c r="D89" s="11"/>
      <c r="E89" s="11"/>
      <c r="F89" s="11"/>
      <c r="G89" s="11"/>
      <c r="H89" s="11"/>
    </row>
    <row r="90" customFormat="false" ht="15" hidden="false" customHeight="false" outlineLevel="0" collapsed="false">
      <c r="A90" s="11"/>
      <c r="B90" s="11"/>
      <c r="C90" s="11"/>
      <c r="D90" s="11"/>
      <c r="E90" s="11"/>
      <c r="F90" s="11"/>
      <c r="G90" s="11"/>
      <c r="H90" s="11"/>
    </row>
    <row r="91" customFormat="false" ht="15" hidden="false" customHeight="false" outlineLevel="0" collapsed="false">
      <c r="A91" s="11"/>
      <c r="B91" s="11"/>
      <c r="C91" s="11"/>
      <c r="D91" s="11"/>
      <c r="E91" s="11"/>
      <c r="F91" s="11"/>
      <c r="G91" s="11"/>
      <c r="H91" s="11"/>
    </row>
    <row r="92" customFormat="false" ht="15" hidden="false" customHeight="false" outlineLevel="0" collapsed="false">
      <c r="A92" s="11"/>
      <c r="B92" s="11"/>
      <c r="C92" s="11"/>
      <c r="D92" s="11"/>
      <c r="E92" s="11"/>
      <c r="F92" s="11"/>
      <c r="G92" s="11"/>
      <c r="H92" s="11"/>
    </row>
    <row r="93" customFormat="false" ht="15" hidden="false" customHeight="false" outlineLevel="0" collapsed="false">
      <c r="A93" s="11"/>
      <c r="B93" s="11"/>
      <c r="C93" s="11"/>
      <c r="D93" s="11"/>
      <c r="E93" s="11"/>
      <c r="F93" s="11"/>
      <c r="G93" s="11"/>
      <c r="H93" s="11"/>
    </row>
    <row r="94" customFormat="false" ht="15" hidden="false" customHeight="false" outlineLevel="0" collapsed="false">
      <c r="A94" s="11"/>
      <c r="B94" s="11"/>
      <c r="C94" s="11"/>
      <c r="D94" s="11"/>
      <c r="E94" s="11"/>
      <c r="F94" s="11"/>
      <c r="G94" s="11"/>
      <c r="H94" s="11"/>
    </row>
    <row r="95" customFormat="false" ht="15" hidden="false" customHeight="false" outlineLevel="0" collapsed="false">
      <c r="A95" s="11"/>
      <c r="B95" s="11"/>
      <c r="C95" s="11"/>
      <c r="D95" s="11"/>
      <c r="E95" s="11"/>
      <c r="F95" s="11"/>
      <c r="G95" s="11"/>
      <c r="H95" s="11"/>
    </row>
    <row r="96" customFormat="false" ht="15" hidden="false" customHeight="false" outlineLevel="0" collapsed="false">
      <c r="A96" s="11"/>
      <c r="B96" s="11"/>
      <c r="C96" s="11"/>
      <c r="D96" s="11"/>
      <c r="E96" s="11"/>
      <c r="F96" s="11"/>
      <c r="G96" s="11"/>
      <c r="H96" s="11"/>
    </row>
    <row r="97" customFormat="false" ht="15" hidden="false" customHeight="false" outlineLevel="0" collapsed="false">
      <c r="A97" s="11"/>
      <c r="B97" s="11"/>
      <c r="C97" s="11"/>
      <c r="D97" s="11"/>
      <c r="E97" s="11"/>
      <c r="F97" s="11"/>
      <c r="G97" s="11"/>
      <c r="H97" s="11"/>
    </row>
    <row r="98" customFormat="false" ht="15" hidden="false" customHeight="false" outlineLevel="0" collapsed="false">
      <c r="A98" s="11"/>
      <c r="B98" s="11"/>
      <c r="C98" s="11"/>
      <c r="D98" s="11"/>
      <c r="E98" s="11"/>
      <c r="F98" s="11"/>
      <c r="G98" s="11"/>
      <c r="H98" s="11"/>
    </row>
    <row r="99" customFormat="false" ht="15" hidden="false" customHeight="false" outlineLevel="0" collapsed="false">
      <c r="A99" s="11"/>
      <c r="B99" s="11"/>
      <c r="C99" s="11"/>
      <c r="D99" s="11"/>
      <c r="E99" s="11"/>
      <c r="F99" s="11"/>
      <c r="G99" s="11"/>
      <c r="H99" s="11"/>
    </row>
    <row r="100" customFormat="false" ht="15" hidden="false" customHeight="false" outlineLevel="0" collapsed="false">
      <c r="A100" s="11"/>
      <c r="B100" s="11"/>
      <c r="C100" s="11"/>
      <c r="D100" s="11"/>
      <c r="E100" s="11"/>
      <c r="F100" s="11"/>
      <c r="G100" s="11"/>
      <c r="H100" s="11"/>
    </row>
    <row r="101" customFormat="false" ht="15" hidden="false" customHeight="false" outlineLevel="0" collapsed="false">
      <c r="A101" s="11"/>
      <c r="B101" s="11"/>
      <c r="C101" s="11"/>
      <c r="D101" s="11"/>
      <c r="E101" s="11"/>
      <c r="F101" s="11"/>
      <c r="G101" s="11"/>
      <c r="H101" s="11"/>
    </row>
    <row r="102" customFormat="false" ht="15" hidden="false" customHeight="false" outlineLevel="0" collapsed="false">
      <c r="A102" s="11"/>
      <c r="B102" s="11"/>
      <c r="C102" s="11"/>
      <c r="D102" s="11"/>
      <c r="E102" s="11"/>
      <c r="F102" s="11"/>
      <c r="G102" s="11"/>
      <c r="H102" s="11"/>
    </row>
    <row r="103" customFormat="false" ht="15" hidden="false" customHeight="false" outlineLevel="0" collapsed="false">
      <c r="A103" s="11"/>
      <c r="B103" s="11"/>
      <c r="C103" s="11"/>
      <c r="D103" s="11"/>
      <c r="E103" s="11"/>
      <c r="F103" s="11"/>
      <c r="G103" s="11"/>
      <c r="H103" s="11"/>
    </row>
    <row r="104" customFormat="false" ht="15" hidden="false" customHeight="false" outlineLevel="0" collapsed="false">
      <c r="A104" s="11"/>
      <c r="B104" s="11"/>
      <c r="C104" s="11"/>
      <c r="D104" s="11"/>
      <c r="E104" s="11"/>
      <c r="F104" s="11"/>
      <c r="G104" s="11"/>
      <c r="H104" s="11"/>
    </row>
    <row r="105" customFormat="false" ht="15" hidden="false" customHeight="false" outlineLevel="0" collapsed="false">
      <c r="A105" s="11"/>
      <c r="B105" s="11"/>
      <c r="C105" s="11"/>
      <c r="D105" s="11"/>
      <c r="E105" s="11"/>
      <c r="F105" s="11"/>
      <c r="G105" s="11"/>
      <c r="H105" s="11"/>
    </row>
    <row r="106" customFormat="false" ht="15" hidden="false" customHeight="false" outlineLevel="0" collapsed="false">
      <c r="A106" s="11"/>
      <c r="B106" s="11"/>
      <c r="C106" s="11"/>
      <c r="D106" s="11"/>
      <c r="E106" s="11"/>
      <c r="F106" s="11"/>
      <c r="G106" s="11"/>
      <c r="H106" s="11"/>
    </row>
    <row r="107" customFormat="false" ht="15" hidden="false" customHeight="false" outlineLevel="0" collapsed="false">
      <c r="A107" s="11"/>
      <c r="B107" s="11"/>
      <c r="C107" s="11"/>
      <c r="D107" s="11"/>
      <c r="E107" s="11"/>
      <c r="F107" s="11"/>
      <c r="G107" s="11"/>
      <c r="H107" s="11"/>
    </row>
    <row r="108" customFormat="false" ht="15" hidden="false" customHeight="false" outlineLevel="0" collapsed="false">
      <c r="A108" s="11"/>
      <c r="B108" s="11"/>
      <c r="C108" s="11"/>
      <c r="D108" s="11"/>
      <c r="E108" s="11"/>
      <c r="F108" s="11"/>
      <c r="G108" s="11"/>
      <c r="H108" s="11"/>
    </row>
    <row r="109" customFormat="false" ht="15" hidden="false" customHeight="false" outlineLevel="0" collapsed="false">
      <c r="A109" s="11"/>
      <c r="B109" s="11"/>
      <c r="C109" s="11"/>
      <c r="D109" s="11"/>
      <c r="E109" s="11"/>
      <c r="F109" s="11"/>
      <c r="G109" s="11"/>
      <c r="H109" s="11"/>
    </row>
    <row r="110" customFormat="false" ht="15" hidden="false" customHeight="false" outlineLevel="0" collapsed="false">
      <c r="A110" s="11"/>
      <c r="B110" s="11"/>
      <c r="C110" s="11"/>
      <c r="D110" s="11"/>
      <c r="E110" s="11"/>
      <c r="F110" s="11"/>
      <c r="G110" s="11"/>
      <c r="H110" s="11"/>
    </row>
    <row r="111" customFormat="false" ht="15" hidden="false" customHeight="false" outlineLevel="0" collapsed="false">
      <c r="A111" s="11"/>
      <c r="B111" s="11"/>
      <c r="C111" s="11"/>
      <c r="D111" s="11"/>
      <c r="E111" s="11"/>
      <c r="F111" s="11"/>
      <c r="G111" s="11"/>
      <c r="H111" s="11"/>
    </row>
    <row r="112" customFormat="false" ht="15" hidden="false" customHeight="false" outlineLevel="0" collapsed="false">
      <c r="A112" s="11"/>
      <c r="B112" s="11"/>
      <c r="C112" s="11"/>
      <c r="D112" s="11"/>
      <c r="E112" s="11"/>
      <c r="F112" s="11"/>
      <c r="G112" s="11"/>
      <c r="H112" s="11"/>
    </row>
    <row r="113" customFormat="false" ht="15" hidden="false" customHeight="false" outlineLevel="0" collapsed="false">
      <c r="A113" s="11"/>
      <c r="B113" s="11"/>
      <c r="C113" s="11"/>
      <c r="D113" s="11"/>
      <c r="E113" s="11"/>
      <c r="F113" s="11"/>
      <c r="G113" s="11"/>
      <c r="H113" s="11"/>
    </row>
    <row r="114" customFormat="false" ht="15" hidden="false" customHeight="false" outlineLevel="0" collapsed="false">
      <c r="A114" s="11"/>
      <c r="B114" s="11"/>
      <c r="C114" s="11"/>
      <c r="D114" s="11"/>
      <c r="E114" s="11"/>
      <c r="F114" s="11"/>
      <c r="G114" s="11"/>
      <c r="H114" s="11"/>
    </row>
    <row r="115" customFormat="false" ht="15" hidden="false" customHeight="false" outlineLevel="0" collapsed="false">
      <c r="A115" s="11"/>
      <c r="B115" s="11"/>
      <c r="C115" s="11"/>
      <c r="D115" s="11"/>
      <c r="E115" s="11"/>
      <c r="F115" s="11"/>
      <c r="G115" s="11"/>
      <c r="H115" s="11"/>
    </row>
    <row r="116" customFormat="false" ht="15" hidden="false" customHeight="false" outlineLevel="0" collapsed="false">
      <c r="A116" s="11"/>
      <c r="B116" s="11"/>
      <c r="C116" s="11"/>
      <c r="D116" s="11"/>
      <c r="E116" s="11"/>
      <c r="F116" s="11"/>
      <c r="G116" s="11"/>
      <c r="H116" s="11"/>
    </row>
    <row r="117" customFormat="false" ht="15" hidden="false" customHeight="false" outlineLevel="0" collapsed="false">
      <c r="A117" s="11"/>
      <c r="B117" s="11"/>
      <c r="C117" s="11"/>
      <c r="D117" s="11"/>
      <c r="E117" s="11"/>
      <c r="F117" s="11"/>
      <c r="G117" s="11"/>
      <c r="H117" s="11"/>
    </row>
    <row r="118" customFormat="false" ht="15" hidden="false" customHeight="false" outlineLevel="0" collapsed="false">
      <c r="A118" s="11"/>
      <c r="B118" s="11"/>
      <c r="C118" s="11"/>
      <c r="D118" s="11"/>
      <c r="E118" s="11"/>
      <c r="F118" s="11"/>
      <c r="G118" s="11"/>
      <c r="H118" s="11"/>
    </row>
    <row r="119" customFormat="false" ht="15" hidden="false" customHeight="false" outlineLevel="0" collapsed="false">
      <c r="A119" s="11"/>
      <c r="B119" s="11"/>
      <c r="C119" s="11"/>
      <c r="D119" s="11"/>
      <c r="E119" s="11"/>
      <c r="F119" s="11"/>
      <c r="G119" s="11"/>
      <c r="H119" s="11"/>
    </row>
    <row r="120" customFormat="false" ht="15" hidden="false" customHeight="false" outlineLevel="0" collapsed="false">
      <c r="A120" s="11"/>
      <c r="B120" s="11"/>
      <c r="C120" s="11"/>
      <c r="D120" s="11"/>
      <c r="E120" s="11"/>
      <c r="F120" s="11"/>
      <c r="G120" s="11"/>
      <c r="H120" s="11"/>
    </row>
    <row r="121" customFormat="false" ht="15" hidden="false" customHeight="false" outlineLevel="0" collapsed="false">
      <c r="A121" s="11"/>
      <c r="B121" s="11"/>
      <c r="C121" s="11"/>
      <c r="D121" s="11"/>
      <c r="E121" s="11"/>
      <c r="F121" s="11"/>
      <c r="G121" s="11"/>
      <c r="H121" s="11"/>
    </row>
    <row r="122" customFormat="false" ht="15" hidden="false" customHeight="false" outlineLevel="0" collapsed="false">
      <c r="A122" s="11"/>
      <c r="B122" s="11"/>
      <c r="C122" s="11"/>
      <c r="D122" s="11"/>
      <c r="E122" s="11"/>
      <c r="F122" s="11"/>
      <c r="G122" s="11"/>
      <c r="H122" s="11"/>
    </row>
    <row r="123" customFormat="false" ht="15" hidden="false" customHeight="false" outlineLevel="0" collapsed="false">
      <c r="A123" s="11"/>
      <c r="B123" s="11"/>
      <c r="C123" s="11"/>
      <c r="D123" s="11"/>
      <c r="E123" s="11"/>
      <c r="F123" s="11"/>
      <c r="G123" s="11"/>
      <c r="H123" s="11"/>
    </row>
    <row r="124" customFormat="false" ht="15" hidden="false" customHeight="false" outlineLevel="0" collapsed="false">
      <c r="A124" s="11"/>
      <c r="B124" s="11"/>
      <c r="C124" s="11"/>
      <c r="D124" s="11"/>
      <c r="E124" s="11"/>
      <c r="F124" s="11"/>
      <c r="G124" s="11"/>
      <c r="H124" s="11"/>
    </row>
    <row r="125" customFormat="false" ht="15" hidden="false" customHeight="false" outlineLevel="0" collapsed="false">
      <c r="A125" s="11"/>
      <c r="B125" s="11"/>
      <c r="C125" s="11"/>
      <c r="D125" s="11"/>
      <c r="E125" s="11"/>
      <c r="F125" s="11"/>
      <c r="G125" s="11"/>
      <c r="H125" s="11"/>
    </row>
    <row r="126" customFormat="false" ht="15" hidden="false" customHeight="false" outlineLevel="0" collapsed="false">
      <c r="A126" s="11"/>
      <c r="B126" s="11"/>
      <c r="C126" s="11"/>
      <c r="D126" s="11"/>
      <c r="E126" s="11"/>
      <c r="F126" s="11"/>
      <c r="G126" s="11"/>
      <c r="H126" s="11"/>
    </row>
    <row r="127" customFormat="false" ht="15" hidden="false" customHeight="false" outlineLevel="0" collapsed="false">
      <c r="A127" s="11"/>
      <c r="B127" s="11"/>
      <c r="C127" s="11"/>
      <c r="D127" s="11"/>
      <c r="E127" s="11"/>
      <c r="F127" s="11"/>
      <c r="G127" s="11"/>
      <c r="H127" s="11"/>
    </row>
    <row r="128" customFormat="false" ht="15" hidden="false" customHeight="false" outlineLevel="0" collapsed="false">
      <c r="A128" s="11"/>
      <c r="B128" s="11"/>
      <c r="C128" s="11"/>
      <c r="D128" s="11"/>
      <c r="E128" s="11"/>
      <c r="F128" s="11"/>
      <c r="G128" s="11"/>
      <c r="H128" s="11"/>
    </row>
    <row r="129" customFormat="false" ht="15" hidden="false" customHeight="false" outlineLevel="0" collapsed="false">
      <c r="A129" s="11"/>
      <c r="B129" s="11"/>
      <c r="C129" s="11"/>
      <c r="D129" s="11"/>
      <c r="E129" s="11"/>
      <c r="F129" s="11"/>
      <c r="G129" s="11"/>
      <c r="H129" s="11"/>
    </row>
    <row r="130" customFormat="false" ht="15" hidden="false" customHeight="false" outlineLevel="0" collapsed="false">
      <c r="A130" s="11"/>
      <c r="B130" s="11"/>
      <c r="C130" s="11"/>
      <c r="D130" s="11"/>
      <c r="E130" s="11"/>
      <c r="F130" s="11"/>
      <c r="G130" s="11"/>
      <c r="H130" s="11"/>
    </row>
    <row r="131" customFormat="false" ht="15" hidden="false" customHeight="false" outlineLevel="0" collapsed="false">
      <c r="A131" s="11"/>
      <c r="B131" s="11"/>
      <c r="C131" s="11"/>
      <c r="D131" s="11"/>
      <c r="E131" s="11"/>
      <c r="F131" s="11"/>
      <c r="G131" s="11"/>
      <c r="H131" s="11"/>
    </row>
    <row r="132" customFormat="false" ht="15" hidden="false" customHeight="false" outlineLevel="0" collapsed="false">
      <c r="A132" s="11"/>
      <c r="B132" s="11"/>
      <c r="C132" s="11"/>
      <c r="D132" s="11"/>
      <c r="E132" s="11"/>
      <c r="F132" s="11"/>
      <c r="G132" s="11"/>
      <c r="H132" s="11"/>
    </row>
    <row r="133" customFormat="false" ht="15" hidden="false" customHeight="false" outlineLevel="0" collapsed="false">
      <c r="A133" s="11"/>
      <c r="B133" s="11"/>
      <c r="C133" s="11"/>
      <c r="D133" s="11"/>
      <c r="E133" s="11"/>
      <c r="F133" s="11"/>
      <c r="G133" s="11"/>
      <c r="H133" s="11"/>
    </row>
    <row r="134" customFormat="false" ht="15" hidden="false" customHeight="false" outlineLevel="0" collapsed="false">
      <c r="A134" s="11"/>
      <c r="B134" s="11"/>
      <c r="C134" s="11"/>
      <c r="D134" s="11"/>
      <c r="E134" s="11"/>
      <c r="F134" s="11"/>
      <c r="G134" s="11"/>
      <c r="H134" s="11"/>
    </row>
    <row r="135" customFormat="false" ht="15" hidden="false" customHeight="false" outlineLevel="0" collapsed="false">
      <c r="A135" s="11"/>
      <c r="B135" s="11"/>
      <c r="C135" s="11"/>
      <c r="D135" s="11"/>
      <c r="E135" s="11"/>
      <c r="F135" s="11"/>
      <c r="G135" s="11"/>
      <c r="H135" s="11"/>
    </row>
    <row r="136" customFormat="false" ht="15" hidden="false" customHeight="false" outlineLevel="0" collapsed="false">
      <c r="A136" s="11"/>
      <c r="B136" s="11"/>
      <c r="C136" s="11"/>
      <c r="D136" s="11"/>
      <c r="E136" s="11"/>
      <c r="F136" s="11"/>
      <c r="G136" s="11"/>
      <c r="H136" s="11"/>
    </row>
    <row r="137" customFormat="false" ht="15" hidden="false" customHeight="false" outlineLevel="0" collapsed="false">
      <c r="A137" s="11"/>
      <c r="B137" s="11"/>
      <c r="C137" s="11"/>
      <c r="D137" s="11"/>
      <c r="E137" s="11"/>
      <c r="F137" s="11"/>
      <c r="G137" s="11"/>
      <c r="H137" s="11"/>
    </row>
    <row r="138" customFormat="false" ht="15" hidden="false" customHeight="false" outlineLevel="0" collapsed="false">
      <c r="A138" s="11"/>
      <c r="B138" s="11"/>
      <c r="C138" s="11"/>
      <c r="D138" s="11"/>
      <c r="E138" s="11"/>
      <c r="F138" s="11"/>
      <c r="G138" s="11"/>
      <c r="H138" s="11"/>
    </row>
    <row r="139" customFormat="false" ht="15" hidden="false" customHeight="false" outlineLevel="0" collapsed="false">
      <c r="A139" s="11"/>
      <c r="B139" s="11"/>
      <c r="C139" s="11"/>
      <c r="D139" s="11"/>
      <c r="E139" s="11"/>
      <c r="F139" s="11"/>
      <c r="G139" s="11"/>
      <c r="H139" s="11"/>
    </row>
    <row r="140" customFormat="false" ht="15" hidden="false" customHeight="false" outlineLevel="0" collapsed="false">
      <c r="A140" s="11"/>
      <c r="B140" s="11"/>
      <c r="C140" s="11"/>
      <c r="D140" s="11"/>
      <c r="E140" s="11"/>
      <c r="F140" s="11"/>
      <c r="G140" s="11"/>
      <c r="H140" s="11"/>
    </row>
    <row r="141" customFormat="false" ht="15" hidden="false" customHeight="false" outlineLevel="0" collapsed="false">
      <c r="A141" s="11"/>
      <c r="B141" s="11"/>
      <c r="C141" s="11"/>
      <c r="D141" s="11"/>
      <c r="E141" s="11"/>
      <c r="F141" s="11"/>
      <c r="G141" s="11"/>
      <c r="H141" s="11"/>
    </row>
    <row r="142" customFormat="false" ht="15" hidden="false" customHeight="false" outlineLevel="0" collapsed="false">
      <c r="A142" s="11"/>
      <c r="B142" s="11"/>
      <c r="C142" s="11"/>
      <c r="D142" s="11"/>
      <c r="E142" s="11"/>
      <c r="F142" s="11"/>
      <c r="G142" s="11"/>
      <c r="H142" s="11"/>
    </row>
    <row r="143" customFormat="false" ht="15" hidden="false" customHeight="false" outlineLevel="0" collapsed="false">
      <c r="A143" s="11"/>
      <c r="B143" s="11"/>
      <c r="C143" s="11"/>
      <c r="D143" s="11"/>
      <c r="E143" s="11"/>
      <c r="F143" s="11"/>
      <c r="G143" s="11"/>
      <c r="H143" s="11"/>
    </row>
    <row r="144" customFormat="false" ht="15" hidden="false" customHeight="false" outlineLevel="0" collapsed="false">
      <c r="A144" s="11"/>
      <c r="B144" s="11"/>
      <c r="C144" s="11"/>
      <c r="D144" s="11"/>
      <c r="E144" s="11"/>
      <c r="F144" s="11"/>
      <c r="G144" s="11"/>
      <c r="H144" s="11"/>
    </row>
    <row r="145" customFormat="false" ht="15" hidden="false" customHeight="false" outlineLevel="0" collapsed="false">
      <c r="A145" s="11"/>
      <c r="B145" s="11"/>
      <c r="C145" s="11"/>
      <c r="D145" s="11"/>
      <c r="E145" s="11"/>
      <c r="F145" s="11"/>
      <c r="G145" s="11"/>
      <c r="H145" s="11"/>
    </row>
    <row r="146" customFormat="false" ht="15" hidden="false" customHeight="false" outlineLevel="0" collapsed="false">
      <c r="A146" s="11"/>
      <c r="B146" s="11"/>
      <c r="C146" s="11"/>
      <c r="D146" s="11"/>
      <c r="E146" s="11"/>
      <c r="F146" s="11"/>
      <c r="G146" s="11"/>
      <c r="H146" s="11"/>
    </row>
    <row r="147" customFormat="false" ht="15" hidden="false" customHeight="false" outlineLevel="0" collapsed="false">
      <c r="A147" s="11"/>
      <c r="B147" s="11"/>
      <c r="C147" s="11"/>
      <c r="D147" s="11"/>
      <c r="E147" s="11"/>
      <c r="F147" s="11"/>
      <c r="G147" s="11"/>
      <c r="H147" s="11"/>
    </row>
    <row r="148" customFormat="false" ht="15" hidden="false" customHeight="false" outlineLevel="0" collapsed="false">
      <c r="A148" s="11"/>
      <c r="B148" s="11"/>
      <c r="C148" s="11"/>
      <c r="D148" s="11"/>
      <c r="E148" s="11"/>
      <c r="F148" s="11"/>
      <c r="G148" s="11"/>
      <c r="H148" s="11"/>
    </row>
    <row r="149" customFormat="false" ht="15" hidden="false" customHeight="false" outlineLevel="0" collapsed="false">
      <c r="A149" s="11"/>
      <c r="B149" s="11"/>
      <c r="C149" s="11"/>
      <c r="D149" s="11"/>
      <c r="E149" s="11"/>
      <c r="F149" s="11"/>
      <c r="G149" s="11"/>
      <c r="H149" s="11"/>
    </row>
    <row r="150" customFormat="false" ht="15" hidden="false" customHeight="false" outlineLevel="0" collapsed="false">
      <c r="A150" s="11"/>
      <c r="B150" s="11"/>
      <c r="C150" s="11"/>
      <c r="D150" s="11"/>
      <c r="E150" s="11"/>
      <c r="F150" s="11"/>
      <c r="G150" s="11"/>
      <c r="H150" s="11"/>
    </row>
    <row r="151" customFormat="false" ht="15" hidden="false" customHeight="false" outlineLevel="0" collapsed="false">
      <c r="A151" s="11"/>
      <c r="B151" s="11"/>
      <c r="C151" s="11"/>
      <c r="D151" s="11"/>
      <c r="E151" s="11"/>
      <c r="F151" s="11"/>
      <c r="G151" s="11"/>
      <c r="H151" s="11"/>
    </row>
    <row r="152" customFormat="false" ht="15" hidden="false" customHeight="false" outlineLevel="0" collapsed="false">
      <c r="A152" s="11"/>
      <c r="B152" s="11"/>
      <c r="C152" s="11"/>
      <c r="D152" s="11"/>
      <c r="E152" s="11"/>
      <c r="F152" s="11"/>
      <c r="G152" s="11"/>
      <c r="H152" s="11"/>
    </row>
    <row r="153" customFormat="false" ht="15" hidden="false" customHeight="false" outlineLevel="0" collapsed="false">
      <c r="A153" s="11"/>
      <c r="B153" s="11"/>
      <c r="C153" s="11"/>
      <c r="D153" s="11"/>
      <c r="E153" s="11"/>
      <c r="F153" s="11"/>
      <c r="G153" s="11"/>
      <c r="H153" s="11"/>
    </row>
    <row r="154" customFormat="false" ht="15" hidden="false" customHeight="false" outlineLevel="0" collapsed="false">
      <c r="A154" s="11"/>
      <c r="B154" s="11"/>
      <c r="C154" s="11"/>
      <c r="D154" s="11"/>
      <c r="E154" s="11"/>
      <c r="F154" s="11"/>
      <c r="G154" s="11"/>
      <c r="H154" s="11"/>
    </row>
    <row r="155" customFormat="false" ht="15" hidden="false" customHeight="false" outlineLevel="0" collapsed="false">
      <c r="A155" s="11"/>
      <c r="B155" s="11"/>
      <c r="C155" s="11"/>
      <c r="D155" s="11"/>
      <c r="E155" s="11"/>
      <c r="F155" s="11"/>
      <c r="G155" s="11"/>
      <c r="H155" s="11"/>
    </row>
    <row r="156" customFormat="false" ht="15" hidden="false" customHeight="false" outlineLevel="0" collapsed="false">
      <c r="A156" s="11"/>
      <c r="B156" s="11"/>
      <c r="C156" s="11"/>
      <c r="D156" s="11"/>
      <c r="E156" s="11"/>
      <c r="F156" s="11"/>
      <c r="G156" s="11"/>
      <c r="H156" s="11"/>
    </row>
    <row r="157" customFormat="false" ht="15" hidden="false" customHeight="false" outlineLevel="0" collapsed="false">
      <c r="A157" s="11"/>
      <c r="B157" s="11"/>
      <c r="C157" s="11"/>
      <c r="D157" s="11"/>
      <c r="E157" s="11"/>
      <c r="F157" s="11"/>
      <c r="G157" s="11"/>
      <c r="H157" s="11"/>
    </row>
    <row r="158" customFormat="false" ht="15" hidden="false" customHeight="false" outlineLevel="0" collapsed="false">
      <c r="A158" s="11"/>
      <c r="B158" s="11"/>
      <c r="C158" s="11"/>
      <c r="D158" s="11"/>
      <c r="E158" s="11"/>
      <c r="F158" s="11"/>
      <c r="G158" s="11"/>
      <c r="H158" s="11"/>
    </row>
    <row r="159" customFormat="false" ht="15" hidden="false" customHeight="false" outlineLevel="0" collapsed="false">
      <c r="A159" s="11"/>
      <c r="B159" s="11"/>
      <c r="C159" s="11"/>
      <c r="D159" s="11"/>
      <c r="E159" s="11"/>
      <c r="F159" s="11"/>
      <c r="G159" s="11"/>
      <c r="H159" s="11"/>
    </row>
    <row r="160" customFormat="false" ht="15" hidden="false" customHeight="false" outlineLevel="0" collapsed="false">
      <c r="A160" s="11"/>
      <c r="B160" s="11"/>
      <c r="C160" s="11"/>
      <c r="D160" s="11"/>
      <c r="E160" s="11"/>
      <c r="F160" s="11"/>
      <c r="G160" s="11"/>
      <c r="H160" s="11"/>
    </row>
    <row r="161" customFormat="false" ht="15" hidden="false" customHeight="false" outlineLevel="0" collapsed="false">
      <c r="A161" s="11"/>
      <c r="B161" s="11"/>
      <c r="C161" s="11"/>
      <c r="D161" s="11"/>
      <c r="E161" s="11"/>
      <c r="F161" s="11"/>
      <c r="G161" s="11"/>
      <c r="H161" s="11"/>
    </row>
    <row r="162" customFormat="false" ht="15" hidden="false" customHeight="false" outlineLevel="0" collapsed="false">
      <c r="A162" s="11"/>
      <c r="B162" s="11"/>
      <c r="C162" s="11"/>
      <c r="D162" s="11"/>
      <c r="E162" s="11"/>
      <c r="F162" s="11"/>
      <c r="G162" s="11"/>
      <c r="H162" s="11"/>
    </row>
    <row r="163" customFormat="false" ht="15" hidden="false" customHeight="false" outlineLevel="0" collapsed="false">
      <c r="A163" s="11"/>
      <c r="B163" s="11"/>
      <c r="C163" s="11"/>
      <c r="D163" s="11"/>
      <c r="E163" s="11"/>
      <c r="F163" s="11"/>
      <c r="G163" s="11"/>
      <c r="H163" s="11"/>
    </row>
    <row r="164" customFormat="false" ht="15" hidden="false" customHeight="false" outlineLevel="0" collapsed="false">
      <c r="A164" s="11"/>
      <c r="B164" s="11"/>
      <c r="C164" s="11"/>
      <c r="D164" s="11"/>
      <c r="E164" s="11"/>
      <c r="F164" s="11"/>
      <c r="G164" s="11"/>
      <c r="H164" s="11"/>
    </row>
    <row r="165" customFormat="false" ht="15" hidden="false" customHeight="false" outlineLevel="0" collapsed="false">
      <c r="A165" s="11"/>
      <c r="B165" s="11"/>
      <c r="C165" s="11"/>
      <c r="D165" s="11"/>
      <c r="E165" s="11"/>
      <c r="F165" s="11"/>
      <c r="G165" s="11"/>
      <c r="H165" s="11"/>
    </row>
    <row r="166" customFormat="false" ht="15" hidden="false" customHeight="false" outlineLevel="0" collapsed="false">
      <c r="A166" s="11"/>
      <c r="B166" s="11"/>
      <c r="C166" s="11"/>
      <c r="D166" s="11"/>
      <c r="E166" s="11"/>
      <c r="F166" s="11"/>
      <c r="G166" s="11"/>
      <c r="H166" s="11"/>
    </row>
    <row r="167" customFormat="false" ht="15" hidden="false" customHeight="false" outlineLevel="0" collapsed="false">
      <c r="A167" s="11"/>
      <c r="B167" s="11"/>
      <c r="C167" s="11"/>
      <c r="D167" s="11"/>
      <c r="E167" s="11"/>
      <c r="F167" s="11"/>
      <c r="G167" s="11"/>
      <c r="H167" s="11"/>
    </row>
    <row r="168" customFormat="false" ht="15" hidden="false" customHeight="false" outlineLevel="0" collapsed="false">
      <c r="A168" s="11"/>
      <c r="B168" s="11"/>
      <c r="C168" s="11"/>
      <c r="D168" s="11"/>
      <c r="E168" s="11"/>
      <c r="F168" s="11"/>
      <c r="G168" s="11"/>
      <c r="H168" s="11"/>
    </row>
    <row r="169" customFormat="false" ht="15" hidden="false" customHeight="false" outlineLevel="0" collapsed="false">
      <c r="A169" s="11"/>
      <c r="B169" s="11"/>
      <c r="C169" s="11"/>
      <c r="D169" s="11"/>
      <c r="E169" s="11"/>
      <c r="F169" s="11"/>
      <c r="G169" s="11"/>
      <c r="H169" s="11"/>
    </row>
    <row r="170" customFormat="false" ht="15" hidden="false" customHeight="false" outlineLevel="0" collapsed="false">
      <c r="A170" s="11"/>
      <c r="B170" s="11"/>
      <c r="C170" s="11"/>
      <c r="D170" s="11"/>
      <c r="E170" s="11"/>
      <c r="F170" s="11"/>
      <c r="G170" s="11"/>
      <c r="H170" s="11"/>
    </row>
    <row r="171" customFormat="false" ht="15" hidden="false" customHeight="false" outlineLevel="0" collapsed="false">
      <c r="A171" s="11"/>
      <c r="B171" s="11"/>
      <c r="C171" s="11"/>
      <c r="D171" s="11"/>
      <c r="E171" s="11"/>
      <c r="F171" s="11"/>
      <c r="G171" s="11"/>
      <c r="H171" s="11"/>
    </row>
    <row r="172" customFormat="false" ht="15" hidden="false" customHeight="false" outlineLevel="0" collapsed="false">
      <c r="A172" s="11"/>
      <c r="B172" s="11"/>
      <c r="C172" s="11"/>
      <c r="D172" s="11"/>
      <c r="E172" s="11"/>
      <c r="F172" s="11"/>
      <c r="G172" s="11"/>
      <c r="H172" s="11"/>
    </row>
    <row r="173" customFormat="false" ht="15" hidden="false" customHeight="false" outlineLevel="0" collapsed="false">
      <c r="A173" s="11"/>
      <c r="B173" s="11"/>
      <c r="C173" s="11"/>
      <c r="D173" s="11"/>
      <c r="E173" s="11"/>
      <c r="F173" s="11"/>
      <c r="G173" s="11"/>
      <c r="H173" s="11"/>
    </row>
    <row r="174" customFormat="false" ht="15" hidden="false" customHeight="false" outlineLevel="0" collapsed="false">
      <c r="A174" s="11"/>
      <c r="B174" s="11"/>
      <c r="C174" s="11"/>
      <c r="D174" s="11"/>
      <c r="E174" s="11"/>
      <c r="F174" s="11"/>
      <c r="G174" s="11"/>
      <c r="H174" s="11"/>
    </row>
    <row r="175" customFormat="false" ht="15" hidden="false" customHeight="false" outlineLevel="0" collapsed="false">
      <c r="A175" s="11"/>
      <c r="B175" s="11"/>
      <c r="C175" s="11"/>
      <c r="D175" s="11"/>
      <c r="E175" s="11"/>
      <c r="F175" s="11"/>
      <c r="G175" s="11"/>
      <c r="H175" s="11"/>
    </row>
    <row r="176" customFormat="false" ht="15" hidden="false" customHeight="false" outlineLevel="0" collapsed="false">
      <c r="A176" s="11"/>
      <c r="B176" s="11"/>
      <c r="C176" s="11"/>
      <c r="D176" s="11"/>
      <c r="E176" s="11"/>
      <c r="F176" s="11"/>
      <c r="G176" s="11"/>
      <c r="H176" s="11"/>
    </row>
    <row r="177" customFormat="false" ht="15" hidden="false" customHeight="false" outlineLevel="0" collapsed="false">
      <c r="A177" s="11"/>
      <c r="B177" s="11"/>
      <c r="C177" s="11"/>
      <c r="D177" s="11"/>
      <c r="E177" s="11"/>
      <c r="F177" s="11"/>
      <c r="G177" s="11"/>
      <c r="H177" s="11"/>
    </row>
    <row r="178" customFormat="false" ht="15" hidden="false" customHeight="false" outlineLevel="0" collapsed="false">
      <c r="A178" s="11"/>
      <c r="B178" s="11"/>
      <c r="C178" s="11"/>
      <c r="D178" s="11"/>
      <c r="E178" s="11"/>
      <c r="F178" s="11"/>
      <c r="G178" s="11"/>
      <c r="H178" s="11"/>
    </row>
    <row r="179" customFormat="false" ht="15" hidden="false" customHeight="false" outlineLevel="0" collapsed="false">
      <c r="A179" s="11"/>
      <c r="B179" s="11"/>
      <c r="C179" s="11"/>
      <c r="D179" s="11"/>
      <c r="E179" s="11"/>
      <c r="F179" s="11"/>
      <c r="G179" s="11"/>
      <c r="H179" s="11"/>
    </row>
    <row r="180" customFormat="false" ht="15" hidden="false" customHeight="false" outlineLevel="0" collapsed="false">
      <c r="A180" s="11"/>
      <c r="B180" s="11"/>
      <c r="C180" s="11"/>
      <c r="D180" s="11"/>
      <c r="E180" s="11"/>
      <c r="F180" s="11"/>
      <c r="G180" s="11"/>
      <c r="H180" s="11"/>
    </row>
    <row r="181" customFormat="false" ht="15" hidden="false" customHeight="false" outlineLevel="0" collapsed="false">
      <c r="A181" s="11"/>
      <c r="B181" s="11"/>
      <c r="C181" s="11"/>
      <c r="D181" s="11"/>
      <c r="E181" s="11"/>
      <c r="F181" s="11"/>
      <c r="G181" s="11"/>
      <c r="H181" s="11"/>
    </row>
    <row r="182" customFormat="false" ht="15" hidden="false" customHeight="false" outlineLevel="0" collapsed="false">
      <c r="A182" s="11"/>
      <c r="B182" s="11"/>
      <c r="C182" s="11"/>
      <c r="D182" s="11"/>
      <c r="E182" s="11"/>
      <c r="F182" s="11"/>
      <c r="G182" s="11"/>
      <c r="H182" s="11"/>
    </row>
    <row r="183" customFormat="false" ht="15" hidden="false" customHeight="false" outlineLevel="0" collapsed="false">
      <c r="A183" s="11"/>
      <c r="B183" s="11"/>
      <c r="C183" s="11"/>
      <c r="D183" s="11"/>
      <c r="E183" s="11"/>
      <c r="F183" s="11"/>
      <c r="G183" s="11"/>
      <c r="H183" s="11"/>
    </row>
    <row r="184" customFormat="false" ht="15" hidden="false" customHeight="false" outlineLevel="0" collapsed="false">
      <c r="A184" s="11"/>
      <c r="B184" s="11"/>
      <c r="C184" s="11"/>
      <c r="D184" s="11"/>
      <c r="E184" s="11"/>
      <c r="F184" s="11"/>
      <c r="G184" s="11"/>
      <c r="H184" s="11"/>
    </row>
    <row r="185" customFormat="false" ht="15" hidden="false" customHeight="false" outlineLevel="0" collapsed="false">
      <c r="A185" s="11"/>
      <c r="B185" s="11"/>
      <c r="C185" s="11"/>
      <c r="D185" s="11"/>
      <c r="E185" s="11"/>
      <c r="F185" s="11"/>
      <c r="G185" s="11"/>
      <c r="H185" s="11"/>
    </row>
    <row r="186" customFormat="false" ht="15" hidden="false" customHeight="false" outlineLevel="0" collapsed="false">
      <c r="A186" s="11"/>
      <c r="B186" s="11"/>
      <c r="C186" s="11"/>
      <c r="D186" s="11"/>
      <c r="E186" s="11"/>
      <c r="F186" s="11"/>
      <c r="G186" s="11"/>
      <c r="H186" s="11"/>
    </row>
    <row r="187" customFormat="false" ht="15" hidden="false" customHeight="false" outlineLevel="0" collapsed="false">
      <c r="A187" s="11"/>
      <c r="B187" s="11"/>
      <c r="C187" s="11"/>
      <c r="D187" s="11"/>
      <c r="E187" s="11"/>
      <c r="F187" s="11"/>
      <c r="G187" s="11"/>
      <c r="H187" s="11"/>
    </row>
    <row r="188" customFormat="false" ht="15" hidden="false" customHeight="false" outlineLevel="0" collapsed="false">
      <c r="A188" s="11"/>
      <c r="B188" s="11"/>
      <c r="C188" s="11"/>
      <c r="D188" s="11"/>
      <c r="E188" s="11"/>
      <c r="F188" s="11"/>
      <c r="G188" s="11"/>
      <c r="H188" s="11"/>
    </row>
    <row r="189" customFormat="false" ht="15" hidden="false" customHeight="false" outlineLevel="0" collapsed="false">
      <c r="A189" s="11"/>
      <c r="B189" s="11"/>
      <c r="C189" s="11"/>
      <c r="D189" s="11"/>
      <c r="E189" s="11"/>
      <c r="F189" s="11"/>
      <c r="G189" s="11"/>
      <c r="H189" s="11"/>
    </row>
    <row r="190" customFormat="false" ht="15" hidden="false" customHeight="false" outlineLevel="0" collapsed="false">
      <c r="A190" s="11"/>
      <c r="B190" s="11"/>
      <c r="C190" s="11"/>
      <c r="D190" s="11"/>
      <c r="E190" s="11"/>
      <c r="F190" s="11"/>
      <c r="G190" s="11"/>
      <c r="H190" s="11"/>
    </row>
    <row r="191" customFormat="false" ht="15" hidden="false" customHeight="false" outlineLevel="0" collapsed="false">
      <c r="A191" s="11"/>
      <c r="B191" s="11"/>
      <c r="C191" s="11"/>
      <c r="D191" s="11"/>
      <c r="E191" s="11"/>
      <c r="F191" s="11"/>
      <c r="G191" s="11"/>
      <c r="H191" s="11"/>
    </row>
    <row r="192" customFormat="false" ht="15" hidden="false" customHeight="false" outlineLevel="0" collapsed="false">
      <c r="A192" s="11"/>
      <c r="B192" s="11"/>
      <c r="C192" s="11"/>
      <c r="D192" s="11"/>
      <c r="E192" s="11"/>
      <c r="F192" s="11"/>
      <c r="G192" s="11"/>
      <c r="H192" s="11"/>
    </row>
    <row r="193" customFormat="false" ht="15" hidden="false" customHeight="false" outlineLevel="0" collapsed="false">
      <c r="A193" s="11"/>
      <c r="B193" s="11"/>
      <c r="C193" s="11"/>
      <c r="D193" s="11"/>
      <c r="E193" s="11"/>
      <c r="F193" s="11"/>
      <c r="G193" s="11"/>
      <c r="H193" s="11"/>
    </row>
    <row r="194" customFormat="false" ht="15" hidden="false" customHeight="false" outlineLevel="0" collapsed="false">
      <c r="A194" s="11"/>
      <c r="B194" s="11"/>
      <c r="C194" s="11"/>
      <c r="D194" s="11"/>
      <c r="E194" s="11"/>
      <c r="F194" s="11"/>
      <c r="G194" s="11"/>
      <c r="H194" s="11"/>
    </row>
    <row r="195" customFormat="false" ht="15" hidden="false" customHeight="false" outlineLevel="0" collapsed="false">
      <c r="A195" s="11"/>
      <c r="B195" s="11"/>
      <c r="C195" s="11"/>
      <c r="D195" s="11"/>
      <c r="E195" s="11"/>
      <c r="F195" s="11"/>
      <c r="G195" s="11"/>
      <c r="H195" s="11"/>
    </row>
    <row r="196" customFormat="false" ht="15" hidden="false" customHeight="false" outlineLevel="0" collapsed="false">
      <c r="A196" s="11"/>
      <c r="B196" s="11"/>
      <c r="C196" s="11"/>
      <c r="D196" s="11"/>
      <c r="E196" s="11"/>
      <c r="F196" s="11"/>
      <c r="G196" s="11"/>
      <c r="H196" s="11"/>
    </row>
    <row r="197" customFormat="false" ht="15" hidden="false" customHeight="false" outlineLevel="0" collapsed="false">
      <c r="A197" s="11"/>
      <c r="B197" s="11"/>
      <c r="C197" s="11"/>
      <c r="D197" s="11"/>
      <c r="E197" s="11"/>
      <c r="F197" s="11"/>
      <c r="G197" s="11"/>
      <c r="H197" s="11"/>
    </row>
    <row r="198" customFormat="false" ht="15" hidden="false" customHeight="false" outlineLevel="0" collapsed="false">
      <c r="A198" s="11"/>
      <c r="B198" s="11"/>
      <c r="C198" s="11"/>
      <c r="D198" s="11"/>
      <c r="E198" s="11"/>
      <c r="F198" s="11"/>
      <c r="G198" s="11"/>
      <c r="H198" s="11"/>
    </row>
    <row r="199" customFormat="false" ht="15" hidden="false" customHeight="false" outlineLevel="0" collapsed="false">
      <c r="A199" s="11"/>
      <c r="B199" s="11"/>
      <c r="C199" s="11"/>
      <c r="D199" s="11"/>
      <c r="E199" s="11"/>
      <c r="F199" s="11"/>
      <c r="G199" s="11"/>
      <c r="H199" s="11"/>
    </row>
    <row r="200" customFormat="false" ht="15" hidden="false" customHeight="false" outlineLevel="0" collapsed="false">
      <c r="A200" s="11"/>
      <c r="B200" s="11"/>
      <c r="C200" s="11"/>
      <c r="D200" s="11"/>
      <c r="E200" s="11"/>
      <c r="F200" s="11"/>
      <c r="G200" s="11"/>
      <c r="H200" s="11"/>
    </row>
  </sheetData>
  <conditionalFormatting sqref="H2:H200">
    <cfRule type="expression" priority="2" aboveAverage="0" equalAverage="0" bottom="0" percent="0" rank="0" text="" dxfId="44">
      <formula>H2="Corrected"</formula>
    </cfRule>
    <cfRule type="expression" priority="3" aboveAverage="0" equalAverage="0" bottom="0" percent="0" rank="0" text="" dxfId="45">
      <formula>H2="Completed"</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45"/>
    <col collapsed="false" customWidth="true" hidden="false" outlineLevel="0" max="4" min="3" style="1" width="18"/>
    <col collapsed="false" customWidth="true" hidden="false" outlineLevel="0" max="5" min="5" style="1" width="58"/>
  </cols>
  <sheetData>
    <row r="1" customFormat="false" ht="36" hidden="false" customHeight="true" outlineLevel="0" collapsed="false">
      <c r="A1" s="20" t="s">
        <v>1807</v>
      </c>
      <c r="B1" s="20" t="s">
        <v>1848</v>
      </c>
      <c r="C1" s="20" t="s">
        <v>1849</v>
      </c>
      <c r="D1" s="20" t="s">
        <v>1850</v>
      </c>
      <c r="E1" s="20" t="s">
        <v>198</v>
      </c>
    </row>
    <row r="2" customFormat="false" ht="23.85" hidden="false" customHeight="false" outlineLevel="0" collapsed="false">
      <c r="A2" s="11" t="s">
        <v>1831</v>
      </c>
      <c r="B2" s="11" t="s">
        <v>1851</v>
      </c>
      <c r="C2" s="11" t="s">
        <v>8</v>
      </c>
      <c r="D2" s="11" t="s">
        <v>8</v>
      </c>
      <c r="E2" s="11" t="s">
        <v>1852</v>
      </c>
    </row>
    <row r="3" customFormat="false" ht="23.85" hidden="false" customHeight="false" outlineLevel="0" collapsed="false">
      <c r="A3" s="11" t="s">
        <v>1813</v>
      </c>
      <c r="B3" s="11" t="s">
        <v>1853</v>
      </c>
      <c r="C3" s="11" t="s">
        <v>8</v>
      </c>
      <c r="D3" s="11" t="s">
        <v>8</v>
      </c>
      <c r="E3" s="11" t="s">
        <v>1854</v>
      </c>
    </row>
    <row r="4" customFormat="false" ht="15" hidden="false" customHeight="false" outlineLevel="0" collapsed="false">
      <c r="A4" s="11" t="s">
        <v>1823</v>
      </c>
      <c r="B4" s="11" t="s">
        <v>1855</v>
      </c>
      <c r="C4" s="11" t="s">
        <v>8</v>
      </c>
      <c r="D4" s="11" t="s">
        <v>8</v>
      </c>
      <c r="E4" s="11" t="s">
        <v>1856</v>
      </c>
    </row>
    <row r="5" customFormat="false" ht="15" hidden="false" customHeight="false" outlineLevel="0" collapsed="false">
      <c r="A5" s="11" t="s">
        <v>1827</v>
      </c>
      <c r="B5" s="11" t="s">
        <v>1857</v>
      </c>
      <c r="C5" s="11" t="s">
        <v>8</v>
      </c>
      <c r="D5" s="11" t="s">
        <v>8</v>
      </c>
      <c r="E5" s="11" t="s">
        <v>1858</v>
      </c>
    </row>
    <row r="6" customFormat="false" ht="15" hidden="false" customHeight="false" outlineLevel="0" collapsed="false">
      <c r="A6" s="11" t="s">
        <v>1859</v>
      </c>
      <c r="B6" s="11" t="s">
        <v>1860</v>
      </c>
      <c r="C6" s="11" t="s">
        <v>8</v>
      </c>
      <c r="D6" s="11" t="s">
        <v>8</v>
      </c>
      <c r="E6" s="11" t="s">
        <v>1861</v>
      </c>
    </row>
    <row r="7" customFormat="false" ht="15" hidden="false" customHeight="false" outlineLevel="0" collapsed="false">
      <c r="A7" s="11" t="s">
        <v>1862</v>
      </c>
      <c r="B7" s="11" t="s">
        <v>1863</v>
      </c>
      <c r="C7" s="11" t="s">
        <v>8</v>
      </c>
      <c r="D7" s="11" t="s">
        <v>8</v>
      </c>
      <c r="E7" s="11" t="s">
        <v>1864</v>
      </c>
    </row>
    <row r="8" customFormat="false" ht="23.85" hidden="false" customHeight="false" outlineLevel="0" collapsed="false">
      <c r="A8" s="11" t="s">
        <v>1812</v>
      </c>
      <c r="B8" s="11" t="s">
        <v>1865</v>
      </c>
      <c r="C8" s="11" t="s">
        <v>1822</v>
      </c>
      <c r="D8" s="11" t="s">
        <v>1866</v>
      </c>
      <c r="E8" s="11" t="s">
        <v>1867</v>
      </c>
    </row>
    <row r="9" customFormat="false" ht="23.85" hidden="false" customHeight="false" outlineLevel="0" collapsed="false">
      <c r="A9" s="11" t="s">
        <v>1868</v>
      </c>
      <c r="B9" s="11" t="s">
        <v>1869</v>
      </c>
      <c r="C9" s="11" t="s">
        <v>1822</v>
      </c>
      <c r="D9" s="11" t="s">
        <v>1866</v>
      </c>
      <c r="E9" s="11" t="s">
        <v>1870</v>
      </c>
    </row>
    <row r="10" customFormat="false" ht="23.85" hidden="false" customHeight="false" outlineLevel="0" collapsed="false">
      <c r="A10" s="11" t="s">
        <v>1871</v>
      </c>
      <c r="B10" s="11" t="s">
        <v>1872</v>
      </c>
      <c r="C10" s="11" t="s">
        <v>1822</v>
      </c>
      <c r="D10" s="11" t="s">
        <v>1866</v>
      </c>
      <c r="E10" s="11" t="s">
        <v>1873</v>
      </c>
    </row>
    <row r="11" customFormat="false" ht="23.85" hidden="false" customHeight="false" outlineLevel="0" collapsed="false">
      <c r="A11" s="11" t="s">
        <v>1874</v>
      </c>
      <c r="B11" s="11" t="s">
        <v>1875</v>
      </c>
      <c r="C11" s="11" t="s">
        <v>1822</v>
      </c>
      <c r="D11" s="11" t="s">
        <v>1866</v>
      </c>
      <c r="E11" s="11" t="s">
        <v>1873</v>
      </c>
    </row>
    <row r="12" customFormat="false" ht="23.85" hidden="false" customHeight="false" outlineLevel="0" collapsed="false">
      <c r="A12" s="11" t="s">
        <v>1876</v>
      </c>
      <c r="B12" s="11" t="s">
        <v>1877</v>
      </c>
      <c r="C12" s="11" t="s">
        <v>1878</v>
      </c>
      <c r="D12" s="11" t="s">
        <v>38</v>
      </c>
      <c r="E12" s="11" t="s">
        <v>1879</v>
      </c>
    </row>
    <row r="13" customFormat="false" ht="15" hidden="false" customHeight="false" outlineLevel="0" collapsed="false">
      <c r="A13" s="11" t="s">
        <v>1841</v>
      </c>
      <c r="B13" s="11" t="s">
        <v>1880</v>
      </c>
      <c r="C13" s="11" t="s">
        <v>8</v>
      </c>
      <c r="D13" s="11" t="s">
        <v>8</v>
      </c>
      <c r="E13" s="11" t="s">
        <v>1881</v>
      </c>
    </row>
    <row r="14" customFormat="false" ht="23.85" hidden="false" customHeight="false" outlineLevel="0" collapsed="false">
      <c r="A14" s="11" t="s">
        <v>1837</v>
      </c>
      <c r="B14" s="11" t="s">
        <v>1882</v>
      </c>
      <c r="C14" s="11" t="s">
        <v>8</v>
      </c>
      <c r="D14" s="11" t="s">
        <v>8</v>
      </c>
      <c r="E14" s="11" t="s">
        <v>1883</v>
      </c>
    </row>
    <row r="15" customFormat="false" ht="15" hidden="false" customHeight="false" outlineLevel="0" collapsed="false">
      <c r="A15" s="11" t="s">
        <v>1884</v>
      </c>
      <c r="B15" s="11" t="s">
        <v>1885</v>
      </c>
      <c r="C15" s="11" t="s">
        <v>1878</v>
      </c>
      <c r="D15" s="11" t="s">
        <v>38</v>
      </c>
      <c r="E15" s="11" t="s">
        <v>1886</v>
      </c>
    </row>
    <row r="16" customFormat="false" ht="15" hidden="false" customHeight="false" outlineLevel="0" collapsed="false">
      <c r="A16" s="11" t="s">
        <v>1887</v>
      </c>
      <c r="B16" s="11" t="s">
        <v>1888</v>
      </c>
      <c r="C16" s="11" t="s">
        <v>1878</v>
      </c>
      <c r="D16" s="11" t="s">
        <v>38</v>
      </c>
      <c r="E16" s="11" t="s">
        <v>1889</v>
      </c>
    </row>
    <row r="17" customFormat="false" ht="15" hidden="false" customHeight="false" outlineLevel="0" collapsed="false">
      <c r="A17" s="11"/>
      <c r="B17" s="11"/>
      <c r="C17" s="11"/>
      <c r="D17" s="11"/>
      <c r="E17" s="11"/>
    </row>
    <row r="18" customFormat="false" ht="15" hidden="false" customHeight="false" outlineLevel="0" collapsed="false">
      <c r="A18" s="11"/>
      <c r="B18" s="11"/>
      <c r="C18" s="11"/>
      <c r="D18" s="11"/>
      <c r="E18" s="11"/>
    </row>
    <row r="19" customFormat="false" ht="15" hidden="false" customHeight="false" outlineLevel="0" collapsed="false">
      <c r="A19" s="11"/>
      <c r="B19" s="11"/>
      <c r="C19" s="11"/>
      <c r="D19" s="11"/>
      <c r="E19" s="11"/>
    </row>
    <row r="20" customFormat="false" ht="15" hidden="false" customHeight="false" outlineLevel="0" collapsed="false">
      <c r="A20" s="11"/>
      <c r="B20" s="11"/>
      <c r="C20" s="11"/>
      <c r="D20" s="11"/>
      <c r="E20" s="11"/>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31"/>
    <col collapsed="false" customWidth="true" hidden="false" outlineLevel="0" max="2" min="2" style="1" width="17"/>
    <col collapsed="false" customWidth="true" hidden="false" outlineLevel="0" max="4" min="4" style="1" width="31"/>
    <col collapsed="false" customWidth="true" hidden="false" outlineLevel="0" max="5" min="5" style="1" width="17"/>
    <col collapsed="false" customWidth="true" hidden="false" outlineLevel="0" max="7" min="7" style="1" width="31"/>
    <col collapsed="false" customWidth="true" hidden="false" outlineLevel="0" max="8" min="8" style="1" width="17"/>
    <col collapsed="false" customWidth="true" hidden="false" outlineLevel="0" max="10" min="10" style="1" width="31"/>
    <col collapsed="false" customWidth="true" hidden="false" outlineLevel="0" max="11" min="11" style="1" width="17"/>
    <col collapsed="false" customWidth="true" hidden="false" outlineLevel="0" max="13" min="13" style="1" width="31"/>
    <col collapsed="false" customWidth="true" hidden="false" outlineLevel="0" max="14" min="14" style="1" width="17"/>
  </cols>
  <sheetData>
    <row r="1" customFormat="false" ht="15" hidden="false" customHeight="false" outlineLevel="0" collapsed="false">
      <c r="A1" s="6" t="s">
        <v>1784</v>
      </c>
      <c r="B1" s="6" t="s">
        <v>7</v>
      </c>
      <c r="C1" s="5"/>
      <c r="D1" s="6" t="s">
        <v>1890</v>
      </c>
      <c r="E1" s="6" t="s">
        <v>1787</v>
      </c>
      <c r="F1" s="5"/>
      <c r="G1" s="6" t="s">
        <v>1891</v>
      </c>
      <c r="H1" s="6" t="s">
        <v>1787</v>
      </c>
      <c r="I1" s="5"/>
      <c r="J1" s="6" t="s">
        <v>1892</v>
      </c>
      <c r="K1" s="6" t="s">
        <v>1787</v>
      </c>
      <c r="L1" s="5"/>
      <c r="M1" s="6" t="s">
        <v>1893</v>
      </c>
      <c r="N1" s="6" t="s">
        <v>1787</v>
      </c>
    </row>
    <row r="2" customFormat="false" ht="15" hidden="false" customHeight="false" outlineLevel="0" collapsed="false">
      <c r="A2" s="5" t="s">
        <v>795</v>
      </c>
      <c r="B2" s="5" t="n">
        <f aca="false">COUNTIF(Gold_Standard_Register!$F$2:$F$60,A2)</f>
        <v>51</v>
      </c>
      <c r="C2" s="5"/>
      <c r="D2" s="5" t="n">
        <v>2020</v>
      </c>
      <c r="E2" s="5" t="n">
        <f aca="false">COUNTIFS(Gold_Standard_Register!$C$2:$C$60,D2,Gold_Standard_Register!$F$2:$F$60,"Include")</f>
        <v>1</v>
      </c>
      <c r="F2" s="5"/>
      <c r="G2" s="5" t="s">
        <v>821</v>
      </c>
      <c r="H2" s="5" t="n">
        <f aca="false">COUNTIFS(Gold_Standard_Register!$E$2:$E$60,G2,Gold_Standard_Register!$F$2:$F$60,"Include")</f>
        <v>36</v>
      </c>
      <c r="I2" s="5"/>
      <c r="J2" s="5" t="s">
        <v>20</v>
      </c>
      <c r="K2" s="5" t="n">
        <f aca="false">SUMIFS(Evaluation_Matrix_V4!$E$2:$E$60,Evaluation_Matrix_V4!$D$2:$D$60,1)</f>
        <v>32</v>
      </c>
      <c r="L2" s="5"/>
      <c r="M2" s="5" t="s">
        <v>1894</v>
      </c>
      <c r="N2" s="5" t="n">
        <f aca="false">SUMIFS(Evaluation_Matrix_V4!$I$2:$I$60,Evaluation_Matrix_V4!$D$2:$D$60,1)</f>
        <v>6</v>
      </c>
    </row>
    <row r="3" customFormat="false" ht="15" hidden="false" customHeight="false" outlineLevel="0" collapsed="false">
      <c r="A3" s="5" t="s">
        <v>835</v>
      </c>
      <c r="B3" s="5" t="n">
        <f aca="false">COUNTIF(Gold_Standard_Register!$F$2:$F$60,A3)</f>
        <v>5</v>
      </c>
      <c r="C3" s="5"/>
      <c r="D3" s="5" t="n">
        <v>2021</v>
      </c>
      <c r="E3" s="5" t="n">
        <f aca="false">COUNTIFS(Gold_Standard_Register!$C$2:$C$60,D3,Gold_Standard_Register!$F$2:$F$60,"Include")</f>
        <v>4</v>
      </c>
      <c r="F3" s="5"/>
      <c r="G3" s="5" t="s">
        <v>878</v>
      </c>
      <c r="H3" s="5" t="n">
        <f aca="false">COUNTIFS(Gold_Standard_Register!$E$2:$E$60,G3,Gold_Standard_Register!$F$2:$F$60,"Include")</f>
        <v>5</v>
      </c>
      <c r="I3" s="5"/>
      <c r="J3" s="5" t="s">
        <v>19</v>
      </c>
      <c r="K3" s="5" t="n">
        <f aca="false">SUMIFS(Evaluation_Matrix_V4!$F$2:$F$60,Evaluation_Matrix_V4!$D$2:$D$60,1)</f>
        <v>23</v>
      </c>
      <c r="L3" s="5"/>
      <c r="M3" s="5" t="s">
        <v>1895</v>
      </c>
      <c r="N3" s="5" t="n">
        <f aca="false">SUMIFS(Evaluation_Matrix_V4!$J$2:$J$60,Evaluation_Matrix_V4!$D$2:$D$60,1)</f>
        <v>10</v>
      </c>
    </row>
    <row r="4" customFormat="false" ht="15" hidden="false" customHeight="false" outlineLevel="0" collapsed="false">
      <c r="A4" s="5" t="s">
        <v>870</v>
      </c>
      <c r="B4" s="5" t="n">
        <f aca="false">COUNTIF(Gold_Standard_Register!$F$2:$F$60,A4)</f>
        <v>2</v>
      </c>
      <c r="C4" s="5"/>
      <c r="D4" s="5" t="n">
        <v>2022</v>
      </c>
      <c r="E4" s="5" t="n">
        <f aca="false">COUNTIFS(Gold_Standard_Register!$C$2:$C$60,D4,Gold_Standard_Register!$F$2:$F$60,"Include")</f>
        <v>5</v>
      </c>
      <c r="F4" s="5"/>
      <c r="G4" s="5" t="s">
        <v>21</v>
      </c>
      <c r="H4" s="5" t="n">
        <f aca="false">COUNTIFS(Gold_Standard_Register!$E$2:$E$60,G4,Gold_Standard_Register!$F$2:$F$60,"Include")</f>
        <v>7</v>
      </c>
      <c r="I4" s="5"/>
      <c r="J4" s="5" t="s">
        <v>22</v>
      </c>
      <c r="K4" s="5" t="n">
        <f aca="false">SUMIFS(Evaluation_Matrix_V4!$G$2:$G$60,Evaluation_Matrix_V4!$D$2:$D$60,1)</f>
        <v>16</v>
      </c>
      <c r="L4" s="5"/>
      <c r="M4" s="5" t="s">
        <v>1896</v>
      </c>
      <c r="N4" s="5" t="n">
        <f aca="false">SUMIFS(Evaluation_Matrix_V4!$K$2:$K$60,Evaluation_Matrix_V4!$D$2:$D$60,1)</f>
        <v>2</v>
      </c>
    </row>
    <row r="5" customFormat="false" ht="15" hidden="false" customHeight="false" outlineLevel="0" collapsed="false">
      <c r="A5" s="5" t="s">
        <v>297</v>
      </c>
      <c r="B5" s="5" t="n">
        <f aca="false">COUNTIF(Gold_Standard_Register!$F$2:$F$60,A5)</f>
        <v>1</v>
      </c>
      <c r="C5" s="5"/>
      <c r="D5" s="5" t="n">
        <v>2023</v>
      </c>
      <c r="E5" s="5" t="n">
        <f aca="false">COUNTIFS(Gold_Standard_Register!$C$2:$C$60,D5,Gold_Standard_Register!$F$2:$F$60,"Include")</f>
        <v>3</v>
      </c>
      <c r="F5" s="5"/>
      <c r="G5" s="5" t="s">
        <v>843</v>
      </c>
      <c r="H5" s="5" t="n">
        <f aca="false">COUNTIFS(Gold_Standard_Register!$E$2:$E$60,G5,Gold_Standard_Register!$F$2:$F$60,"Include")</f>
        <v>3</v>
      </c>
      <c r="I5" s="5"/>
      <c r="J5" s="5" t="s">
        <v>21</v>
      </c>
      <c r="K5" s="5" t="n">
        <f aca="false">SUMIFS(Evaluation_Matrix_V4!$H$2:$H$60,Evaluation_Matrix_V4!$D$2:$D$60,1)</f>
        <v>9</v>
      </c>
      <c r="L5" s="5"/>
      <c r="M5" s="5" t="s">
        <v>1897</v>
      </c>
      <c r="N5" s="5" t="n">
        <f aca="false">SUMIFS(Evaluation_Matrix_V4!$L$2:$L$60,Evaluation_Matrix_V4!$D$2:$D$60,1)</f>
        <v>10</v>
      </c>
    </row>
    <row r="6" customFormat="false" ht="15" hidden="false" customHeight="false" outlineLevel="0" collapsed="false">
      <c r="A6" s="5"/>
      <c r="B6" s="5"/>
      <c r="C6" s="5"/>
      <c r="D6" s="5" t="n">
        <v>2024</v>
      </c>
      <c r="E6" s="5" t="n">
        <f aca="false">COUNTIFS(Gold_Standard_Register!$C$2:$C$60,D6,Gold_Standard_Register!$F$2:$F$60,"Include")</f>
        <v>13</v>
      </c>
      <c r="F6" s="5"/>
      <c r="G6" s="5"/>
      <c r="H6" s="5"/>
      <c r="I6" s="5"/>
      <c r="J6" s="5"/>
      <c r="K6" s="5"/>
      <c r="L6" s="5"/>
      <c r="M6" s="5" t="s">
        <v>1898</v>
      </c>
      <c r="N6" s="5" t="n">
        <f aca="false">SUMIFS(Evaluation_Matrix_V4!$M$2:$M$60,Evaluation_Matrix_V4!$D$2:$D$60,1)</f>
        <v>3</v>
      </c>
    </row>
    <row r="7" customFormat="false" ht="15" hidden="false" customHeight="false" outlineLevel="0" collapsed="false">
      <c r="A7" s="5"/>
      <c r="B7" s="5"/>
      <c r="C7" s="5"/>
      <c r="D7" s="5" t="n">
        <v>2025</v>
      </c>
      <c r="E7" s="5" t="n">
        <f aca="false">COUNTIFS(Gold_Standard_Register!$C$2:$C$60,D7,Gold_Standard_Register!$F$2:$F$60,"Include")</f>
        <v>16</v>
      </c>
      <c r="F7" s="5"/>
      <c r="G7" s="5"/>
      <c r="H7" s="5"/>
      <c r="I7" s="5"/>
      <c r="J7" s="5"/>
      <c r="K7" s="5"/>
      <c r="L7" s="5"/>
      <c r="M7" s="5" t="s">
        <v>1031</v>
      </c>
      <c r="N7" s="5" t="n">
        <f aca="false">SUMIFS(Evaluation_Matrix_V4!$N$2:$N$60,Evaluation_Matrix_V4!$D$2:$D$60,1)</f>
        <v>16</v>
      </c>
    </row>
    <row r="8" customFormat="false" ht="15" hidden="false" customHeight="false" outlineLevel="0" collapsed="false">
      <c r="A8" s="5"/>
      <c r="B8" s="5"/>
      <c r="C8" s="5"/>
      <c r="D8" s="5" t="n">
        <v>2026</v>
      </c>
      <c r="E8" s="5" t="n">
        <f aca="false">COUNTIFS(Gold_Standard_Register!$C$2:$C$60,D8,Gold_Standard_Register!$F$2:$F$60,"Include")</f>
        <v>9</v>
      </c>
      <c r="F8" s="5"/>
      <c r="G8" s="5"/>
      <c r="H8" s="5"/>
      <c r="I8" s="5"/>
      <c r="J8" s="5"/>
      <c r="K8" s="5"/>
      <c r="L8" s="5"/>
      <c r="M8" s="5" t="s">
        <v>1032</v>
      </c>
      <c r="N8" s="5" t="n">
        <f aca="false">SUMIFS(Evaluation_Matrix_V4!$O$2:$O$60,Evaluation_Matrix_V4!$D$2:$D$60,1)</f>
        <v>11</v>
      </c>
    </row>
    <row r="9" customFormat="false" ht="15" hidden="false" customHeight="false" outlineLevel="0" collapsed="false">
      <c r="A9" s="5"/>
      <c r="B9" s="5"/>
      <c r="C9" s="5"/>
      <c r="D9" s="5"/>
      <c r="E9" s="5"/>
      <c r="F9" s="5"/>
      <c r="G9" s="5"/>
      <c r="H9" s="5"/>
      <c r="I9" s="5"/>
      <c r="J9" s="5"/>
      <c r="K9" s="5"/>
      <c r="L9" s="5"/>
      <c r="M9" s="5" t="s">
        <v>1033</v>
      </c>
      <c r="N9" s="5" t="n">
        <f aca="false">SUMIFS(Evaluation_Matrix_V4!$P$2:$P$60,Evaluation_Matrix_V4!$D$2:$D$60,1)</f>
        <v>5</v>
      </c>
    </row>
    <row r="10" customFormat="false" ht="15" hidden="false" customHeight="false" outlineLevel="0" collapsed="false">
      <c r="A10" s="5"/>
      <c r="B10" s="5"/>
      <c r="C10" s="5"/>
      <c r="D10" s="5"/>
      <c r="E10" s="5"/>
      <c r="F10" s="5"/>
      <c r="G10" s="5"/>
      <c r="H10" s="5"/>
      <c r="I10" s="5"/>
      <c r="J10" s="5"/>
      <c r="K10" s="5"/>
      <c r="L10" s="5"/>
      <c r="M10" s="5" t="s">
        <v>1899</v>
      </c>
      <c r="N10" s="5" t="n">
        <f aca="false">SUMIFS(Evaluation_Matrix_V4!$Q$2:$Q$60,Evaluation_Matrix_V4!$D$2:$D$60,1)</f>
        <v>3</v>
      </c>
    </row>
    <row r="11" customFormat="false" ht="15" hidden="false" customHeight="false" outlineLevel="0" collapsed="false">
      <c r="A11" s="5"/>
      <c r="B11" s="5"/>
      <c r="C11" s="5"/>
      <c r="D11" s="5"/>
      <c r="E11" s="5"/>
      <c r="F11" s="5"/>
      <c r="G11" s="5"/>
      <c r="H11" s="5"/>
      <c r="I11" s="5"/>
      <c r="J11" s="5"/>
      <c r="K11" s="5"/>
      <c r="L11" s="5"/>
      <c r="M11" s="5"/>
      <c r="N11" s="5"/>
    </row>
    <row r="12" customFormat="false" ht="15" hidden="false" customHeight="false" outlineLevel="0" collapsed="false">
      <c r="A12" s="6" t="s">
        <v>1900</v>
      </c>
      <c r="B12" s="6" t="s">
        <v>1787</v>
      </c>
      <c r="C12" s="5"/>
      <c r="D12" s="6" t="s">
        <v>1901</v>
      </c>
      <c r="E12" s="6" t="s">
        <v>1787</v>
      </c>
      <c r="F12" s="5"/>
      <c r="G12" s="6" t="s">
        <v>1902</v>
      </c>
      <c r="H12" s="6" t="s">
        <v>1787</v>
      </c>
      <c r="I12" s="5"/>
      <c r="J12" s="6" t="s">
        <v>1903</v>
      </c>
      <c r="K12" s="6" t="s">
        <v>1787</v>
      </c>
      <c r="L12" s="5"/>
      <c r="M12" s="6" t="s">
        <v>1904</v>
      </c>
      <c r="N12" s="6" t="s">
        <v>1787</v>
      </c>
    </row>
    <row r="13" customFormat="false" ht="15" hidden="false" customHeight="false" outlineLevel="0" collapsed="false">
      <c r="A13" s="5" t="s">
        <v>10</v>
      </c>
      <c r="B13" s="5" t="n">
        <f aca="false">SUMIFS(Final_Topic_Matrix!$E$2:$E$60,Final_Topic_Matrix!$C$2:$C$60,"Include")</f>
        <v>22</v>
      </c>
      <c r="C13" s="5"/>
      <c r="D13" s="5" t="s">
        <v>1074</v>
      </c>
      <c r="E13" s="5" t="n">
        <f aca="false">SUMIFS(KPI_Matrix_V3!$C$2:$C$60,Evaluation_Matrix_V4!$D$2:$D$60,1)</f>
        <v>15</v>
      </c>
      <c r="F13" s="5"/>
      <c r="G13" s="5" t="s">
        <v>1049</v>
      </c>
      <c r="H13" s="5" t="n">
        <f aca="false">SUMIFS(Methods_Platforms_V3!$N$2:$N$60,Methods_Platforms_V3!$X$2:$X$60,1)</f>
        <v>2</v>
      </c>
      <c r="I13" s="5"/>
      <c r="J13" s="5" t="s">
        <v>10</v>
      </c>
      <c r="K13" s="5" t="n">
        <f aca="false">SUMIFS(Primary_Category_V5!$D$2:$D$60,Primary_Category_V5!$C$2:$C$60,"Include")</f>
        <v>12</v>
      </c>
      <c r="L13" s="5"/>
      <c r="M13" s="5" t="s">
        <v>52</v>
      </c>
      <c r="N13" s="5" t="n">
        <f aca="false">COUNTIFS(Quality_Assessment!$I$2:$I$60,M13,Gold_Standard_Register!$F$2:$F$60,"Include")</f>
        <v>4</v>
      </c>
    </row>
    <row r="14" customFormat="false" ht="15" hidden="false" customHeight="false" outlineLevel="0" collapsed="false">
      <c r="A14" s="5" t="s">
        <v>12</v>
      </c>
      <c r="B14" s="5" t="n">
        <f aca="false">SUMIFS(Final_Topic_Matrix!$F$2:$F$60,Final_Topic_Matrix!$C$2:$C$60,"Include")</f>
        <v>22</v>
      </c>
      <c r="C14" s="5"/>
      <c r="D14" s="5" t="s">
        <v>1701</v>
      </c>
      <c r="E14" s="5" t="n">
        <f aca="false">SUMIFS(KPI_Matrix_V3!$D$2:$D$60,Evaluation_Matrix_V4!$D$2:$D$60,1)</f>
        <v>0</v>
      </c>
      <c r="F14" s="5"/>
      <c r="G14" s="5" t="s">
        <v>1690</v>
      </c>
      <c r="H14" s="5" t="n">
        <f aca="false">SUMIFS(Methods_Platforms_V3!$O$2:$O$60,Methods_Platforms_V3!$X$2:$X$60,1)</f>
        <v>0</v>
      </c>
      <c r="I14" s="5"/>
      <c r="J14" s="5" t="s">
        <v>12</v>
      </c>
      <c r="K14" s="5" t="n">
        <f aca="false">SUMIFS(Primary_Category_V5!$E$2:$E$60,Primary_Category_V5!$C$2:$C$60,"Include")</f>
        <v>6</v>
      </c>
      <c r="L14" s="5"/>
      <c r="M14" s="5" t="s">
        <v>1466</v>
      </c>
      <c r="N14" s="5" t="n">
        <f aca="false">COUNTIFS(Quality_Assessment!$I$2:$I$60,M14,Gold_Standard_Register!$F$2:$F$60,"Include")</f>
        <v>47</v>
      </c>
    </row>
    <row r="15" customFormat="false" ht="15" hidden="false" customHeight="false" outlineLevel="0" collapsed="false">
      <c r="A15" s="5" t="s">
        <v>11</v>
      </c>
      <c r="B15" s="5" t="n">
        <f aca="false">SUMIFS(Final_Topic_Matrix!$G$2:$G$60,Final_Topic_Matrix!$C$2:$C$60,"Include")</f>
        <v>23</v>
      </c>
      <c r="C15" s="5"/>
      <c r="D15" s="5" t="s">
        <v>1076</v>
      </c>
      <c r="E15" s="5" t="n">
        <f aca="false">SUMIFS(KPI_Matrix_V3!$E$2:$E$60,Evaluation_Matrix_V4!$D$2:$D$60,1)</f>
        <v>5</v>
      </c>
      <c r="F15" s="5"/>
      <c r="G15" s="5" t="s">
        <v>1691</v>
      </c>
      <c r="H15" s="5" t="n">
        <f aca="false">SUMIFS(Methods_Platforms_V3!$P$2:$P$60,Methods_Platforms_V3!$X$2:$X$60,1)</f>
        <v>1</v>
      </c>
      <c r="I15" s="5"/>
      <c r="J15" s="5" t="s">
        <v>11</v>
      </c>
      <c r="K15" s="5" t="n">
        <f aca="false">SUMIFS(Primary_Category_V5!$F$2:$F$60,Primary_Category_V5!$C$2:$C$60,"Include")</f>
        <v>6</v>
      </c>
      <c r="L15" s="5"/>
      <c r="M15" s="5" t="s">
        <v>1467</v>
      </c>
      <c r="N15" s="5" t="n">
        <f aca="false">COUNTIFS(Quality_Assessment!$I$2:$I$60,M15,Gold_Standard_Register!$F$2:$F$60,"Include")</f>
        <v>0</v>
      </c>
    </row>
    <row r="16" customFormat="false" ht="15" hidden="false" customHeight="false" outlineLevel="0" collapsed="false">
      <c r="A16" s="5" t="s">
        <v>1905</v>
      </c>
      <c r="B16" s="5" t="n">
        <f aca="false">SUMIFS(Final_Topic_Matrix!$H$2:$H$60,Final_Topic_Matrix!$C$2:$C$60,"Include")</f>
        <v>4</v>
      </c>
      <c r="C16" s="5"/>
      <c r="D16" s="5" t="s">
        <v>1906</v>
      </c>
      <c r="E16" s="5" t="n">
        <f aca="false">SUMIFS(KPI_Matrix_V3!$F$2:$F$60,Evaluation_Matrix_V4!$D$2:$D$60,1)</f>
        <v>1</v>
      </c>
      <c r="F16" s="5"/>
      <c r="G16" s="5" t="s">
        <v>1692</v>
      </c>
      <c r="H16" s="5" t="n">
        <f aca="false">SUMIFS(Methods_Platforms_V3!$Q$2:$Q$60,Methods_Platforms_V3!$X$2:$X$60,1)</f>
        <v>0</v>
      </c>
      <c r="I16" s="5"/>
      <c r="J16" s="5" t="s">
        <v>1905</v>
      </c>
      <c r="K16" s="5" t="n">
        <f aca="false">SUMIFS(Primary_Category_V5!$G$2:$G$60,Primary_Category_V5!$C$2:$C$60,"Include")</f>
        <v>1</v>
      </c>
      <c r="L16" s="5"/>
      <c r="M16" s="5"/>
      <c r="N16" s="5"/>
    </row>
    <row r="17" customFormat="false" ht="15" hidden="false" customHeight="false" outlineLevel="0" collapsed="false">
      <c r="A17" s="5" t="s">
        <v>1017</v>
      </c>
      <c r="B17" s="5" t="n">
        <f aca="false">SUMIFS(Final_Topic_Matrix!$I$2:$I$60,Final_Topic_Matrix!$C$2:$C$60,"Include")</f>
        <v>6</v>
      </c>
      <c r="C17" s="5"/>
      <c r="D17" s="5" t="s">
        <v>1079</v>
      </c>
      <c r="E17" s="5" t="n">
        <f aca="false">SUMIFS(KPI_Matrix_V3!$G$2:$G$60,Evaluation_Matrix_V4!$D$2:$D$60,1)</f>
        <v>40</v>
      </c>
      <c r="F17" s="5"/>
      <c r="G17" s="5" t="s">
        <v>1693</v>
      </c>
      <c r="H17" s="5" t="n">
        <f aca="false">SUMIFS(Methods_Platforms_V3!$R$2:$R$60,Methods_Platforms_V3!$X$2:$X$60,1)</f>
        <v>1</v>
      </c>
      <c r="I17" s="5"/>
      <c r="J17" s="5" t="s">
        <v>1017</v>
      </c>
      <c r="K17" s="5" t="n">
        <f aca="false">SUMIFS(Primary_Category_V5!$H$2:$H$60,Primary_Category_V5!$C$2:$C$60,"Include")</f>
        <v>2</v>
      </c>
      <c r="L17" s="5"/>
      <c r="M17" s="5"/>
      <c r="N17" s="5"/>
    </row>
    <row r="18" customFormat="false" ht="15" hidden="false" customHeight="false" outlineLevel="0" collapsed="false">
      <c r="A18" s="5" t="s">
        <v>16</v>
      </c>
      <c r="B18" s="5" t="n">
        <f aca="false">SUMIFS(Final_Topic_Matrix!$J$2:$J$60,Final_Topic_Matrix!$C$2:$C$60,"Include")</f>
        <v>3</v>
      </c>
      <c r="C18" s="5"/>
      <c r="D18" s="5" t="s">
        <v>1078</v>
      </c>
      <c r="E18" s="5" t="n">
        <f aca="false">SUMIFS(KPI_Matrix_V3!$H$2:$H$60,Evaluation_Matrix_V4!$D$2:$D$60,1)</f>
        <v>11</v>
      </c>
      <c r="F18" s="5"/>
      <c r="G18" s="5" t="s">
        <v>1694</v>
      </c>
      <c r="H18" s="5" t="n">
        <f aca="false">SUMIFS(Methods_Platforms_V3!$S$2:$S$60,Methods_Platforms_V3!$X$2:$X$60,1)</f>
        <v>1</v>
      </c>
      <c r="I18" s="5"/>
      <c r="J18" s="5" t="s">
        <v>16</v>
      </c>
      <c r="K18" s="5" t="n">
        <f aca="false">SUMIFS(Primary_Category_V5!$I$2:$I$60,Primary_Category_V5!$C$2:$C$60,"Include")</f>
        <v>2</v>
      </c>
      <c r="L18" s="5"/>
      <c r="M18" s="5"/>
      <c r="N18" s="5"/>
    </row>
    <row r="19" customFormat="false" ht="15" hidden="false" customHeight="false" outlineLevel="0" collapsed="false">
      <c r="A19" s="5" t="s">
        <v>1023</v>
      </c>
      <c r="B19" s="5" t="n">
        <f aca="false">SUMIFS(Final_Topic_Matrix!$K$2:$K$60,Final_Topic_Matrix!$C$2:$C$60,"Include")</f>
        <v>8</v>
      </c>
      <c r="C19" s="5"/>
      <c r="D19" s="5" t="s">
        <v>1703</v>
      </c>
      <c r="E19" s="5" t="n">
        <f aca="false">SUMIFS(KPI_Matrix_V3!$I$2:$I$60,Evaluation_Matrix_V4!$D$2:$D$60,1)</f>
        <v>15</v>
      </c>
      <c r="F19" s="5"/>
      <c r="G19" s="5" t="s">
        <v>1695</v>
      </c>
      <c r="H19" s="5" t="n">
        <f aca="false">SUMIFS(Methods_Platforms_V3!$T$2:$T$60,Methods_Platforms_V3!$X$2:$X$60,1)</f>
        <v>5</v>
      </c>
      <c r="I19" s="5"/>
      <c r="J19" s="5" t="s">
        <v>1907</v>
      </c>
      <c r="K19" s="5" t="n">
        <f aca="false">SUMIFS(Primary_Category_V5!$J$2:$J$60,Primary_Category_V5!$C$2:$C$60,"Include")</f>
        <v>14</v>
      </c>
      <c r="L19" s="5"/>
      <c r="M19" s="5"/>
      <c r="N19" s="5"/>
    </row>
    <row r="20" customFormat="false" ht="15" hidden="false" customHeight="false" outlineLevel="0" collapsed="false">
      <c r="A20" s="5" t="s">
        <v>1024</v>
      </c>
      <c r="B20" s="5" t="n">
        <f aca="false">SUMIFS(Final_Topic_Matrix!$L$2:$L$60,Final_Topic_Matrix!$C$2:$C$60,"Include")</f>
        <v>2</v>
      </c>
      <c r="C20" s="5"/>
      <c r="D20" s="5" t="s">
        <v>1082</v>
      </c>
      <c r="E20" s="5" t="n">
        <f aca="false">SUMIFS(KPI_Matrix_V3!$J$2:$J$60,Evaluation_Matrix_V4!$D$2:$D$60,1)</f>
        <v>7</v>
      </c>
      <c r="F20" s="5"/>
      <c r="G20" s="5" t="s">
        <v>1696</v>
      </c>
      <c r="H20" s="5" t="n">
        <f aca="false">SUMIFS(Methods_Platforms_V3!$U$2:$U$60,Methods_Platforms_V3!$X$2:$X$60,1)</f>
        <v>1</v>
      </c>
      <c r="I20" s="5"/>
      <c r="J20" s="5" t="s">
        <v>13</v>
      </c>
      <c r="K20" s="5" t="n">
        <f aca="false">SUMIFS(Primary_Category_V5!$K$2:$K$60,Primary_Category_V5!$C$2:$C$60,"Include")</f>
        <v>3</v>
      </c>
      <c r="L20" s="5"/>
      <c r="M20" s="5"/>
      <c r="N20" s="5"/>
    </row>
    <row r="21" customFormat="false" ht="15" hidden="false" customHeight="false" outlineLevel="0" collapsed="false">
      <c r="A21" s="5" t="s">
        <v>1025</v>
      </c>
      <c r="B21" s="5" t="n">
        <f aca="false">SUMIFS(Final_Topic_Matrix!$M$2:$M$60,Final_Topic_Matrix!$C$2:$C$60,"Include")</f>
        <v>2</v>
      </c>
      <c r="C21" s="5"/>
      <c r="D21" s="5" t="s">
        <v>1080</v>
      </c>
      <c r="E21" s="5" t="n">
        <f aca="false">SUMIFS(KPI_Matrix_V3!$K$2:$K$60,Evaluation_Matrix_V4!$D$2:$D$60,1)</f>
        <v>2</v>
      </c>
      <c r="F21" s="5"/>
      <c r="G21" s="5" t="s">
        <v>1697</v>
      </c>
      <c r="H21" s="5" t="n">
        <f aca="false">SUMIFS(Methods_Platforms_V3!$V$2:$V$60,Methods_Platforms_V3!$X$2:$X$60,1)</f>
        <v>1</v>
      </c>
      <c r="I21" s="5"/>
      <c r="J21" s="5" t="s">
        <v>1026</v>
      </c>
      <c r="K21" s="5" t="n">
        <f aca="false">SUMIFS(Primary_Category_V5!$L$2:$L$60,Primary_Category_V5!$C$2:$C$60,"Include")</f>
        <v>5</v>
      </c>
      <c r="L21" s="5"/>
      <c r="M21" s="5"/>
      <c r="N21" s="5"/>
    </row>
    <row r="22" customFormat="false" ht="15" hidden="false" customHeight="false" outlineLevel="0" collapsed="false">
      <c r="A22" s="5" t="s">
        <v>1026</v>
      </c>
      <c r="B22" s="5" t="n">
        <f aca="false">SUMIFS(Final_Topic_Matrix!$N$2:$N$60,Final_Topic_Matrix!$C$2:$C$60,"Include")</f>
        <v>13</v>
      </c>
      <c r="C22" s="5"/>
      <c r="D22" s="5" t="s">
        <v>1081</v>
      </c>
      <c r="E22" s="5" t="n">
        <f aca="false">SUMIFS(KPI_Matrix_V3!$L$2:$L$60,Evaluation_Matrix_V4!$D$2:$D$60,1)</f>
        <v>2</v>
      </c>
      <c r="F22" s="5"/>
      <c r="G22" s="5"/>
      <c r="H22" s="5"/>
      <c r="I22" s="5"/>
      <c r="J22" s="5"/>
      <c r="K22" s="5"/>
      <c r="L22" s="5"/>
      <c r="M22" s="5"/>
      <c r="N22" s="5"/>
    </row>
    <row r="23" customFormat="false" ht="15" hidden="false" customHeight="false" outlineLevel="0" collapsed="false">
      <c r="A23" s="5" t="s">
        <v>1908</v>
      </c>
      <c r="B23" s="5" t="n">
        <f aca="false">SUMIFS(Final_Topic_Matrix!$O$2:$O$60,Final_Topic_Matrix!$C$2:$C$60,"Include")</f>
        <v>18</v>
      </c>
      <c r="C23" s="5"/>
      <c r="D23" s="5" t="s">
        <v>1705</v>
      </c>
      <c r="E23" s="5" t="n">
        <f aca="false">SUMIFS(KPI_Matrix_V3!$M$2:$M$60,Evaluation_Matrix_V4!$D$2:$D$60,1)</f>
        <v>22</v>
      </c>
      <c r="F23" s="5"/>
      <c r="G23" s="5"/>
      <c r="H23" s="5"/>
      <c r="I23" s="5"/>
      <c r="J23" s="5"/>
      <c r="K23" s="5"/>
      <c r="L23" s="5"/>
      <c r="M23" s="5"/>
      <c r="N23" s="5"/>
    </row>
    <row r="24" customFormat="false" ht="15" hidden="false" customHeight="false" outlineLevel="0" collapsed="false">
      <c r="A24" s="5" t="s">
        <v>1020</v>
      </c>
      <c r="B24" s="5" t="n">
        <f aca="false">SUMIFS(Final_Topic_Matrix!$P$2:$P$60,Final_Topic_Matrix!$C$2:$C$60,"Include")</f>
        <v>9</v>
      </c>
      <c r="C24" s="5"/>
      <c r="D24" s="5" t="s">
        <v>1087</v>
      </c>
      <c r="E24" s="5" t="n">
        <f aca="false">SUMIFS(KPI_Matrix_V3!$N$2:$N$60,Evaluation_Matrix_V4!$D$2:$D$60,1)</f>
        <v>1</v>
      </c>
      <c r="F24" s="5"/>
      <c r="G24" s="5"/>
      <c r="H24" s="5"/>
      <c r="I24" s="5"/>
      <c r="J24" s="5"/>
      <c r="K24" s="5"/>
      <c r="L24" s="5"/>
      <c r="M24" s="5"/>
      <c r="N24" s="5"/>
    </row>
    <row r="25" customFormat="false" ht="15" hidden="false" customHeight="false" outlineLevel="0" collapsed="false">
      <c r="A25" s="5" t="s">
        <v>1021</v>
      </c>
      <c r="B25" s="5" t="n">
        <f aca="false">SUMIFS(Final_Topic_Matrix!$Q$2:$Q$60,Final_Topic_Matrix!$C$2:$C$60,"Include")</f>
        <v>5</v>
      </c>
      <c r="C25" s="5"/>
      <c r="D25" s="5" t="s">
        <v>1088</v>
      </c>
      <c r="E25" s="5" t="n">
        <f aca="false">SUMIFS(KPI_Matrix_V3!$O$2:$O$60,Evaluation_Matrix_V4!$D$2:$D$60,1)</f>
        <v>1</v>
      </c>
      <c r="F25" s="5"/>
      <c r="G25" s="5"/>
      <c r="H25" s="5"/>
      <c r="I25" s="5"/>
      <c r="J25" s="5"/>
      <c r="K25" s="5"/>
      <c r="L25" s="5"/>
      <c r="M25" s="5"/>
      <c r="N25" s="5"/>
    </row>
    <row r="26" customFormat="false" ht="15" hidden="false" customHeight="false" outlineLevel="0" collapsed="false">
      <c r="A26" s="5" t="s">
        <v>1684</v>
      </c>
      <c r="B26" s="5" t="n">
        <f aca="false">SUMIFS(Final_Topic_Matrix!$R$2:$R$60,Final_Topic_Matrix!$C$2:$C$60,"Include")</f>
        <v>3</v>
      </c>
      <c r="C26" s="5"/>
      <c r="D26" s="5" t="s">
        <v>1089</v>
      </c>
      <c r="E26" s="5" t="n">
        <f aca="false">SUMIFS(KPI_Matrix_V3!$P$2:$P$60,Evaluation_Matrix_V4!$D$2:$D$60,1)</f>
        <v>1</v>
      </c>
      <c r="F26" s="5"/>
      <c r="G26" s="5"/>
      <c r="H26" s="5"/>
      <c r="I26" s="5"/>
      <c r="J26" s="5"/>
      <c r="K26" s="5"/>
      <c r="L26" s="5"/>
      <c r="M26" s="5"/>
      <c r="N26" s="5"/>
    </row>
    <row r="27" customFormat="false" ht="15" hidden="false" customHeight="false" outlineLevel="0" collapsed="false">
      <c r="A27" s="5" t="s">
        <v>1683</v>
      </c>
      <c r="B27" s="5" t="n">
        <f aca="false">SUMIFS(Final_Topic_Matrix!$S$2:$S$60,Final_Topic_Matrix!$C$2:$C$60,"Include")</f>
        <v>1</v>
      </c>
      <c r="C27" s="5"/>
      <c r="D27" s="5" t="s">
        <v>1090</v>
      </c>
      <c r="E27" s="5" t="n">
        <f aca="false">SUMIFS(KPI_Matrix_V3!$Q$2:$Q$60,Evaluation_Matrix_V4!$D$2:$D$60,1)</f>
        <v>1</v>
      </c>
      <c r="F27" s="5"/>
      <c r="G27" s="5"/>
      <c r="H27" s="5"/>
      <c r="I27" s="5"/>
      <c r="J27" s="5"/>
      <c r="K27" s="5"/>
      <c r="L27" s="5"/>
      <c r="M27" s="5"/>
      <c r="N27" s="5"/>
    </row>
    <row r="28" customFormat="false" ht="15" hidden="false" customHeight="false" outlineLevel="0" collapsed="false">
      <c r="A28" s="5" t="s">
        <v>1792</v>
      </c>
      <c r="B28" s="5" t="n">
        <f aca="false">SUMIFS(Final_Topic_Matrix!$T$2:$T$60,Final_Topic_Matrix!$C$2:$C$60,"Include")</f>
        <v>2</v>
      </c>
      <c r="C28" s="5"/>
      <c r="D28" s="5" t="s">
        <v>1707</v>
      </c>
      <c r="E28" s="5" t="n">
        <f aca="false">SUMIFS(KPI_Matrix_V3!$R$2:$R$60,Evaluation_Matrix_V4!$D$2:$D$60,1)</f>
        <v>0</v>
      </c>
      <c r="F28" s="5"/>
      <c r="G28" s="5"/>
      <c r="H28" s="5"/>
      <c r="I28" s="5"/>
      <c r="J28" s="5"/>
      <c r="K28" s="5"/>
      <c r="L28" s="5"/>
      <c r="M28" s="5"/>
      <c r="N28" s="5"/>
    </row>
    <row r="29" customFormat="false" ht="15" hidden="false" customHeight="false" outlineLevel="0" collapsed="false">
      <c r="A29" s="5"/>
      <c r="B29" s="5"/>
      <c r="C29" s="5"/>
      <c r="D29" s="5" t="s">
        <v>1086</v>
      </c>
      <c r="E29" s="5" t="n">
        <f aca="false">SUMIFS(KPI_Matrix_V3!$S$2:$S$60,Evaluation_Matrix_V4!$D$2:$D$60,1)</f>
        <v>2</v>
      </c>
      <c r="F29" s="5"/>
      <c r="G29" s="5"/>
      <c r="H29" s="5"/>
      <c r="I29" s="5"/>
      <c r="J29" s="5"/>
      <c r="K29" s="5"/>
      <c r="L29" s="5"/>
      <c r="M29" s="5"/>
      <c r="N29" s="5"/>
    </row>
    <row r="30" customFormat="false" ht="15" hidden="false" customHeight="false" outlineLevel="0" collapsed="false">
      <c r="A30" s="5"/>
      <c r="B30" s="5"/>
      <c r="C30" s="5"/>
      <c r="D30" s="5" t="s">
        <v>1909</v>
      </c>
      <c r="E30" s="5" t="n">
        <f aca="false">SUMIFS(KPI_Matrix_V3!$T$2:$T$60,Evaluation_Matrix_V4!$D$2:$D$60,1)</f>
        <v>0</v>
      </c>
      <c r="F30" s="5"/>
      <c r="G30" s="5"/>
      <c r="H30" s="5"/>
      <c r="I30" s="5"/>
      <c r="J30" s="5"/>
      <c r="K30" s="5"/>
      <c r="L30" s="5"/>
      <c r="M30" s="5"/>
      <c r="N30" s="5"/>
    </row>
    <row r="31" customFormat="false" ht="15" hidden="false" customHeight="false" outlineLevel="0" collapsed="false">
      <c r="A31" s="5"/>
      <c r="B31" s="5"/>
      <c r="C31" s="5"/>
      <c r="D31" s="5"/>
      <c r="E31" s="5"/>
      <c r="F31" s="5"/>
      <c r="G31" s="5"/>
      <c r="H31" s="5"/>
      <c r="I31" s="5"/>
      <c r="J31" s="5"/>
      <c r="K31" s="5"/>
      <c r="L31" s="5"/>
      <c r="M31" s="5"/>
      <c r="N31" s="5"/>
    </row>
    <row r="32" customFormat="false" ht="15" hidden="false" customHeight="false" outlineLevel="0" collapsed="false">
      <c r="A32" s="5"/>
      <c r="B32" s="5"/>
      <c r="C32" s="5"/>
      <c r="D32" s="5"/>
      <c r="E32" s="5"/>
      <c r="F32" s="5"/>
      <c r="G32" s="5"/>
      <c r="H32" s="5"/>
      <c r="I32" s="5"/>
      <c r="J32" s="5"/>
      <c r="K32" s="5"/>
      <c r="L32" s="5"/>
      <c r="M32" s="5"/>
      <c r="N32" s="5"/>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00"/>
  <sheetViews>
    <sheetView showFormulas="false" showGridLines="true" showRowColHeaders="true" showZeros="true" rightToLeft="false" tabSelected="false" showOutlineSymbols="true" defaultGridColor="true" view="normal" topLeftCell="A64" colorId="64" zoomScale="100" zoomScaleNormal="100" zoomScalePageLayoutView="100" workbookViewId="0">
      <selection pane="topLeft" activeCell="X33" activeCellId="1" sqref="A1:P60 X33"/>
    </sheetView>
  </sheetViews>
  <sheetFormatPr defaultColWidth="8.6796875" defaultRowHeight="15" customHeight="false" zeroHeight="false" outlineLevelRow="0" outlineLevelCol="0"/>
  <cols>
    <col collapsed="false" customWidth="true" hidden="false" outlineLevel="0" max="20" min="1" style="1" width="12"/>
  </cols>
  <sheetData>
    <row r="1" customFormat="false" ht="28" hidden="false" customHeight="true" outlineLevel="0" collapsed="false">
      <c r="A1" s="21" t="s">
        <v>1910</v>
      </c>
      <c r="B1" s="21"/>
      <c r="C1" s="21"/>
      <c r="D1" s="21"/>
      <c r="E1" s="21"/>
      <c r="F1" s="21"/>
      <c r="G1" s="21"/>
      <c r="H1" s="21"/>
      <c r="I1" s="21"/>
      <c r="J1" s="21"/>
      <c r="K1" s="21"/>
      <c r="L1" s="21"/>
      <c r="M1" s="21"/>
      <c r="N1" s="21"/>
      <c r="O1" s="21"/>
      <c r="P1" s="21"/>
      <c r="Q1" s="21"/>
      <c r="R1" s="21"/>
      <c r="S1" s="21"/>
      <c r="T1" s="21"/>
    </row>
    <row r="2" customFormat="false" ht="28" hidden="false" customHeight="true" outlineLevel="0" collapsed="false">
      <c r="A2" s="21"/>
      <c r="B2" s="21"/>
      <c r="C2" s="21"/>
      <c r="D2" s="21"/>
      <c r="E2" s="21"/>
      <c r="F2" s="21"/>
      <c r="G2" s="21"/>
      <c r="H2" s="21"/>
      <c r="I2" s="21"/>
      <c r="J2" s="21"/>
      <c r="K2" s="21"/>
      <c r="L2" s="21"/>
      <c r="M2" s="21"/>
      <c r="N2" s="21"/>
      <c r="O2" s="21"/>
      <c r="P2" s="21"/>
      <c r="Q2" s="21"/>
      <c r="R2" s="21"/>
      <c r="S2" s="21"/>
      <c r="T2" s="21"/>
    </row>
    <row r="3" customFormat="false" ht="20" hidden="false" customHeight="true" outlineLevel="0" collapsed="false">
      <c r="A3" s="22" t="s">
        <v>1911</v>
      </c>
      <c r="B3" s="22"/>
      <c r="C3" s="22"/>
      <c r="D3" s="22"/>
      <c r="E3" s="22"/>
      <c r="F3" s="22"/>
      <c r="G3" s="22"/>
      <c r="H3" s="22"/>
      <c r="I3" s="22"/>
      <c r="J3" s="22"/>
      <c r="K3" s="22"/>
      <c r="L3" s="22"/>
      <c r="M3" s="22"/>
      <c r="N3" s="22"/>
      <c r="O3" s="22"/>
      <c r="P3" s="22"/>
      <c r="Q3" s="22"/>
      <c r="R3" s="22"/>
      <c r="S3" s="22"/>
      <c r="T3" s="22"/>
    </row>
    <row r="4" customFormat="false" ht="20" hidden="false" customHeight="true" outlineLevel="0" collapsed="false"/>
    <row r="5" customFormat="false" ht="30" hidden="false" customHeight="true" outlineLevel="0" collapsed="false">
      <c r="A5" s="23" t="s">
        <v>1912</v>
      </c>
      <c r="B5" s="23" t="s">
        <v>1787</v>
      </c>
      <c r="C5" s="23" t="s">
        <v>835</v>
      </c>
      <c r="D5" s="23" t="s">
        <v>1913</v>
      </c>
      <c r="E5" s="23" t="s">
        <v>297</v>
      </c>
      <c r="F5" s="23" t="s">
        <v>20</v>
      </c>
      <c r="G5" s="23" t="s">
        <v>1685</v>
      </c>
      <c r="H5" s="23" t="s">
        <v>1914</v>
      </c>
      <c r="I5" s="23" t="s">
        <v>1915</v>
      </c>
      <c r="K5" s="24" t="s">
        <v>1916</v>
      </c>
      <c r="L5" s="24"/>
      <c r="M5" s="24"/>
      <c r="N5" s="24"/>
      <c r="O5" s="24"/>
      <c r="P5" s="24"/>
      <c r="Q5" s="24"/>
      <c r="R5" s="24"/>
      <c r="S5" s="24"/>
      <c r="T5" s="24"/>
    </row>
    <row r="6" customFormat="false" ht="30" hidden="false" customHeight="true" outlineLevel="0" collapsed="false">
      <c r="A6" s="25" t="n">
        <f aca="false">SUM(Results_Data_V5!B2:B5)</f>
        <v>59</v>
      </c>
      <c r="B6" s="25" t="n">
        <f aca="false">Results_Data_V5!B2</f>
        <v>51</v>
      </c>
      <c r="C6" s="25" t="n">
        <f aca="false">Results_Data_V5!B3</f>
        <v>5</v>
      </c>
      <c r="D6" s="25" t="n">
        <f aca="false">Results_Data_V5!B4</f>
        <v>2</v>
      </c>
      <c r="E6" s="25" t="n">
        <f aca="false">Results_Data_V5!B5</f>
        <v>1</v>
      </c>
      <c r="F6" s="25" t="n">
        <f aca="false">Results_Data_V5!K2</f>
        <v>32</v>
      </c>
      <c r="G6" s="25" t="n">
        <f aca="false">Results_Data_V5!K3</f>
        <v>23</v>
      </c>
      <c r="H6" s="25" t="n">
        <f aca="false">Results_Data_V5!K4</f>
        <v>16</v>
      </c>
      <c r="I6" s="25" t="n">
        <f aca="false">Results_Data_V5!K5</f>
        <v>9</v>
      </c>
      <c r="K6" s="24"/>
      <c r="L6" s="24"/>
      <c r="M6" s="24"/>
      <c r="N6" s="24"/>
      <c r="O6" s="24"/>
      <c r="P6" s="24"/>
      <c r="Q6" s="24"/>
      <c r="R6" s="24"/>
      <c r="S6" s="24"/>
      <c r="T6" s="24"/>
    </row>
    <row r="7" customFormat="false" ht="20" hidden="false" customHeight="true" outlineLevel="0" collapsed="false"/>
    <row r="8" customFormat="false" ht="20" hidden="false" customHeight="true" outlineLevel="0" collapsed="false"/>
    <row r="9" customFormat="false" ht="20" hidden="false" customHeight="true" outlineLevel="0" collapsed="false"/>
    <row r="10" customFormat="false" ht="20" hidden="false" customHeight="true" outlineLevel="0" collapsed="false"/>
    <row r="11" customFormat="false" ht="20" hidden="false" customHeight="true" outlineLevel="0" collapsed="false"/>
    <row r="12" customFormat="false" ht="20" hidden="false" customHeight="true" outlineLevel="0" collapsed="false"/>
    <row r="13" customFormat="false" ht="20" hidden="false" customHeight="true" outlineLevel="0" collapsed="false"/>
    <row r="14" customFormat="false" ht="20" hidden="false" customHeight="true" outlineLevel="0" collapsed="false"/>
    <row r="15" customFormat="false" ht="20" hidden="false" customHeight="true" outlineLevel="0" collapsed="false"/>
    <row r="16" customFormat="false" ht="20" hidden="false" customHeight="true" outlineLevel="0" collapsed="false"/>
    <row r="17" customFormat="false" ht="20" hidden="false" customHeight="true" outlineLevel="0" collapsed="false"/>
    <row r="18" customFormat="false" ht="20" hidden="false" customHeight="true" outlineLevel="0" collapsed="false"/>
    <row r="19" customFormat="false" ht="20" hidden="false" customHeight="true" outlineLevel="0" collapsed="false"/>
    <row r="20" customFormat="false" ht="20" hidden="false" customHeight="true" outlineLevel="0" collapsed="false"/>
    <row r="21" customFormat="false" ht="20" hidden="false" customHeight="true" outlineLevel="0" collapsed="false"/>
    <row r="22" customFormat="false" ht="20" hidden="false" customHeight="true" outlineLevel="0" collapsed="false"/>
    <row r="23" customFormat="false" ht="20" hidden="false" customHeight="true" outlineLevel="0" collapsed="false"/>
    <row r="24" customFormat="false" ht="20" hidden="false" customHeight="true" outlineLevel="0" collapsed="false"/>
    <row r="25" customFormat="false" ht="20" hidden="false" customHeight="true" outlineLevel="0" collapsed="false"/>
    <row r="26" customFormat="false" ht="20" hidden="false" customHeight="true" outlineLevel="0" collapsed="false"/>
    <row r="27" customFormat="false" ht="20" hidden="false" customHeight="true" outlineLevel="0" collapsed="false"/>
    <row r="28" customFormat="false" ht="20" hidden="false" customHeight="true" outlineLevel="0" collapsed="false"/>
    <row r="29" customFormat="false" ht="20" hidden="false" customHeight="true" outlineLevel="0" collapsed="false"/>
    <row r="30" customFormat="false" ht="20" hidden="false" customHeight="true" outlineLevel="0" collapsed="false"/>
    <row r="31" customFormat="false" ht="20" hidden="false" customHeight="true" outlineLevel="0" collapsed="false"/>
    <row r="32" customFormat="false" ht="20" hidden="false" customHeight="true" outlineLevel="0" collapsed="false"/>
    <row r="33" customFormat="false" ht="20" hidden="false" customHeight="true" outlineLevel="0" collapsed="false"/>
    <row r="34" customFormat="false" ht="20" hidden="false" customHeight="true" outlineLevel="0" collapsed="false"/>
    <row r="35" customFormat="false" ht="20" hidden="false" customHeight="true" outlineLevel="0" collapsed="false"/>
    <row r="36" customFormat="false" ht="20" hidden="false" customHeight="true" outlineLevel="0" collapsed="false"/>
    <row r="37" customFormat="false" ht="20" hidden="false" customHeight="true" outlineLevel="0" collapsed="false"/>
    <row r="38" customFormat="false" ht="20" hidden="false" customHeight="true" outlineLevel="0" collapsed="false"/>
    <row r="39" customFormat="false" ht="20" hidden="false" customHeight="true" outlineLevel="0" collapsed="false"/>
    <row r="40" customFormat="false" ht="20" hidden="false" customHeight="true" outlineLevel="0" collapsed="false"/>
    <row r="41" customFormat="false" ht="20" hidden="false" customHeight="true" outlineLevel="0" collapsed="false"/>
    <row r="42" customFormat="false" ht="20" hidden="false" customHeight="true" outlineLevel="0" collapsed="false"/>
    <row r="43" customFormat="false" ht="20" hidden="false" customHeight="true" outlineLevel="0" collapsed="false"/>
    <row r="44" customFormat="false" ht="20" hidden="false" customHeight="true" outlineLevel="0" collapsed="false"/>
    <row r="45" customFormat="false" ht="20" hidden="false" customHeight="true" outlineLevel="0" collapsed="false"/>
    <row r="46" customFormat="false" ht="20" hidden="false" customHeight="true" outlineLevel="0" collapsed="false"/>
    <row r="47" customFormat="false" ht="20" hidden="false" customHeight="true" outlineLevel="0" collapsed="false"/>
    <row r="48" customFormat="false" ht="20" hidden="false" customHeight="true" outlineLevel="0" collapsed="false"/>
    <row r="49" customFormat="false" ht="20" hidden="false" customHeight="true" outlineLevel="0" collapsed="false"/>
    <row r="50" customFormat="false" ht="20" hidden="false" customHeight="true" outlineLevel="0" collapsed="false"/>
    <row r="51" customFormat="false" ht="20" hidden="false" customHeight="true" outlineLevel="0" collapsed="false"/>
    <row r="52" customFormat="false" ht="20" hidden="false" customHeight="true" outlineLevel="0" collapsed="false"/>
    <row r="53" customFormat="false" ht="20" hidden="false" customHeight="true" outlineLevel="0" collapsed="false"/>
    <row r="54" customFormat="false" ht="20" hidden="false" customHeight="true" outlineLevel="0" collapsed="false"/>
    <row r="55" customFormat="false" ht="20" hidden="false" customHeight="true" outlineLevel="0" collapsed="false"/>
    <row r="56" customFormat="false" ht="20" hidden="false" customHeight="true" outlineLevel="0" collapsed="false"/>
    <row r="57" customFormat="false" ht="20" hidden="false" customHeight="true" outlineLevel="0" collapsed="false"/>
    <row r="58" customFormat="false" ht="20" hidden="false" customHeight="true" outlineLevel="0" collapsed="false"/>
    <row r="59" customFormat="false" ht="20" hidden="false" customHeight="true" outlineLevel="0" collapsed="false"/>
    <row r="60" customFormat="false" ht="20" hidden="false" customHeight="true" outlineLevel="0" collapsed="false"/>
    <row r="61" customFormat="false" ht="20" hidden="false" customHeight="true" outlineLevel="0" collapsed="false"/>
    <row r="62" customFormat="false" ht="20" hidden="false" customHeight="true" outlineLevel="0" collapsed="false"/>
    <row r="63" customFormat="false" ht="20" hidden="false" customHeight="true" outlineLevel="0" collapsed="false"/>
    <row r="64" customFormat="false" ht="20" hidden="false" customHeight="true" outlineLevel="0" collapsed="false"/>
    <row r="65" customFormat="false" ht="20" hidden="false" customHeight="true" outlineLevel="0" collapsed="false"/>
    <row r="66" customFormat="false" ht="20" hidden="false" customHeight="true" outlineLevel="0" collapsed="false"/>
    <row r="67" customFormat="false" ht="20" hidden="false" customHeight="true" outlineLevel="0" collapsed="false"/>
    <row r="68" customFormat="false" ht="20" hidden="false" customHeight="true" outlineLevel="0" collapsed="false">
      <c r="K68" s="26" t="s">
        <v>1917</v>
      </c>
      <c r="L68" s="26"/>
      <c r="M68" s="26"/>
      <c r="N68" s="26"/>
      <c r="O68" s="26"/>
      <c r="P68" s="26"/>
      <c r="Q68" s="26"/>
      <c r="R68" s="26"/>
      <c r="S68" s="26"/>
      <c r="T68" s="26"/>
    </row>
    <row r="69" customFormat="false" ht="20" hidden="false" customHeight="true" outlineLevel="0" collapsed="false">
      <c r="K69" s="26"/>
      <c r="L69" s="26"/>
      <c r="M69" s="26"/>
      <c r="N69" s="26"/>
      <c r="O69" s="26"/>
      <c r="P69" s="26"/>
      <c r="Q69" s="26"/>
      <c r="R69" s="26"/>
      <c r="S69" s="26"/>
      <c r="T69" s="26"/>
    </row>
    <row r="70" customFormat="false" ht="20" hidden="false" customHeight="true" outlineLevel="0" collapsed="false">
      <c r="K70" s="26"/>
      <c r="L70" s="26"/>
      <c r="M70" s="26"/>
      <c r="N70" s="26"/>
      <c r="O70" s="26"/>
      <c r="P70" s="26"/>
      <c r="Q70" s="26"/>
      <c r="R70" s="26"/>
      <c r="S70" s="26"/>
      <c r="T70" s="26"/>
    </row>
    <row r="71" customFormat="false" ht="20" hidden="false" customHeight="true" outlineLevel="0" collapsed="false">
      <c r="K71" s="26"/>
      <c r="L71" s="26"/>
      <c r="M71" s="26"/>
      <c r="N71" s="26"/>
      <c r="O71" s="26"/>
      <c r="P71" s="26"/>
      <c r="Q71" s="26"/>
      <c r="R71" s="26"/>
      <c r="S71" s="26"/>
      <c r="T71" s="26"/>
    </row>
    <row r="72" customFormat="false" ht="20" hidden="false" customHeight="true" outlineLevel="0" collapsed="false">
      <c r="K72" s="26"/>
      <c r="L72" s="26"/>
      <c r="M72" s="26"/>
      <c r="N72" s="26"/>
      <c r="O72" s="26"/>
      <c r="P72" s="26"/>
      <c r="Q72" s="26"/>
      <c r="R72" s="26"/>
      <c r="S72" s="26"/>
      <c r="T72" s="26"/>
    </row>
    <row r="73" customFormat="false" ht="20" hidden="false" customHeight="true" outlineLevel="0" collapsed="false">
      <c r="K73" s="26"/>
      <c r="L73" s="26"/>
      <c r="M73" s="26"/>
      <c r="N73" s="26"/>
      <c r="O73" s="26"/>
      <c r="P73" s="26"/>
      <c r="Q73" s="26"/>
      <c r="R73" s="26"/>
      <c r="S73" s="26"/>
      <c r="T73" s="26"/>
    </row>
    <row r="74" customFormat="false" ht="20" hidden="false" customHeight="true" outlineLevel="0" collapsed="false">
      <c r="K74" s="26"/>
      <c r="L74" s="26"/>
      <c r="M74" s="26"/>
      <c r="N74" s="26"/>
      <c r="O74" s="26"/>
      <c r="P74" s="26"/>
      <c r="Q74" s="26"/>
      <c r="R74" s="26"/>
      <c r="S74" s="26"/>
      <c r="T74" s="26"/>
    </row>
    <row r="75" customFormat="false" ht="20" hidden="false" customHeight="true" outlineLevel="0" collapsed="false"/>
    <row r="76" customFormat="false" ht="20" hidden="false" customHeight="true" outlineLevel="0" collapsed="false"/>
    <row r="77" customFormat="false" ht="20" hidden="false" customHeight="true" outlineLevel="0" collapsed="false"/>
    <row r="78" customFormat="false" ht="20" hidden="false" customHeight="true" outlineLevel="0" collapsed="false"/>
    <row r="79" customFormat="false" ht="20" hidden="false" customHeight="true" outlineLevel="0" collapsed="false"/>
    <row r="80" customFormat="false" ht="20" hidden="false" customHeight="true" outlineLevel="0" collapsed="false"/>
    <row r="81" customFormat="false" ht="20" hidden="false" customHeight="true" outlineLevel="0" collapsed="false"/>
    <row r="82" customFormat="false" ht="20" hidden="false" customHeight="true" outlineLevel="0" collapsed="false"/>
    <row r="83" customFormat="false" ht="20" hidden="false" customHeight="true" outlineLevel="0" collapsed="false"/>
    <row r="84" customFormat="false" ht="20" hidden="false" customHeight="true" outlineLevel="0" collapsed="false"/>
    <row r="85" customFormat="false" ht="20" hidden="false" customHeight="true" outlineLevel="0" collapsed="false"/>
    <row r="86" customFormat="false" ht="20" hidden="false" customHeight="true" outlineLevel="0" collapsed="false"/>
    <row r="87" customFormat="false" ht="20" hidden="false" customHeight="true" outlineLevel="0" collapsed="false"/>
    <row r="88" customFormat="false" ht="20" hidden="false" customHeight="true" outlineLevel="0" collapsed="false"/>
    <row r="89" customFormat="false" ht="20" hidden="false" customHeight="true" outlineLevel="0" collapsed="false"/>
    <row r="90" customFormat="false" ht="20" hidden="false" customHeight="true" outlineLevel="0" collapsed="false"/>
    <row r="91" customFormat="false" ht="20" hidden="false" customHeight="true" outlineLevel="0" collapsed="false"/>
    <row r="92" customFormat="false" ht="20" hidden="false" customHeight="true" outlineLevel="0" collapsed="false"/>
    <row r="93" customFormat="false" ht="20" hidden="false" customHeight="true" outlineLevel="0" collapsed="false"/>
    <row r="94" customFormat="false" ht="20" hidden="false" customHeight="true" outlineLevel="0" collapsed="false"/>
    <row r="95" customFormat="false" ht="20" hidden="false" customHeight="true" outlineLevel="0" collapsed="false"/>
    <row r="96" customFormat="false" ht="20" hidden="false" customHeight="true" outlineLevel="0" collapsed="false">
      <c r="A96" s="27" t="s">
        <v>1918</v>
      </c>
      <c r="B96" s="27"/>
      <c r="C96" s="27"/>
      <c r="D96" s="27"/>
      <c r="E96" s="27"/>
      <c r="F96" s="27"/>
      <c r="G96" s="27"/>
      <c r="H96" s="27"/>
      <c r="I96" s="27"/>
      <c r="J96" s="27"/>
      <c r="K96" s="27"/>
      <c r="L96" s="27"/>
      <c r="M96" s="27"/>
      <c r="N96" s="27"/>
      <c r="O96" s="27"/>
      <c r="P96" s="27"/>
      <c r="Q96" s="27"/>
      <c r="R96" s="27"/>
      <c r="S96" s="27"/>
      <c r="T96" s="27"/>
    </row>
    <row r="97" customFormat="false" ht="20" hidden="false" customHeight="true" outlineLevel="0" collapsed="false">
      <c r="A97" s="27"/>
      <c r="B97" s="27"/>
      <c r="C97" s="27"/>
      <c r="D97" s="27"/>
      <c r="E97" s="27"/>
      <c r="F97" s="27"/>
      <c r="G97" s="27"/>
      <c r="H97" s="27"/>
      <c r="I97" s="27"/>
      <c r="J97" s="27"/>
      <c r="K97" s="27"/>
      <c r="L97" s="27"/>
      <c r="M97" s="27"/>
      <c r="N97" s="27"/>
      <c r="O97" s="27"/>
      <c r="P97" s="27"/>
      <c r="Q97" s="27"/>
      <c r="R97" s="27"/>
      <c r="S97" s="27"/>
      <c r="T97" s="27"/>
    </row>
    <row r="98" customFormat="false" ht="20" hidden="false" customHeight="true" outlineLevel="0" collapsed="false">
      <c r="A98" s="27"/>
      <c r="B98" s="27"/>
      <c r="C98" s="27"/>
      <c r="D98" s="27"/>
      <c r="E98" s="27"/>
      <c r="F98" s="27"/>
      <c r="G98" s="27"/>
      <c r="H98" s="27"/>
      <c r="I98" s="27"/>
      <c r="J98" s="27"/>
      <c r="K98" s="27"/>
      <c r="L98" s="27"/>
      <c r="M98" s="27"/>
      <c r="N98" s="27"/>
      <c r="O98" s="27"/>
      <c r="P98" s="27"/>
      <c r="Q98" s="27"/>
      <c r="R98" s="27"/>
      <c r="S98" s="27"/>
      <c r="T98" s="27"/>
    </row>
    <row r="99" customFormat="false" ht="20" hidden="false" customHeight="true" outlineLevel="0" collapsed="false">
      <c r="A99" s="27"/>
      <c r="B99" s="27"/>
      <c r="C99" s="27"/>
      <c r="D99" s="27"/>
      <c r="E99" s="27"/>
      <c r="F99" s="27"/>
      <c r="G99" s="27"/>
      <c r="H99" s="27"/>
      <c r="I99" s="27"/>
      <c r="J99" s="27"/>
      <c r="K99" s="27"/>
      <c r="L99" s="27"/>
      <c r="M99" s="27"/>
      <c r="N99" s="27"/>
      <c r="O99" s="27"/>
      <c r="P99" s="27"/>
      <c r="Q99" s="27"/>
      <c r="R99" s="27"/>
      <c r="S99" s="27"/>
      <c r="T99" s="27"/>
    </row>
    <row r="100" customFormat="false" ht="20" hidden="false" customHeight="true" outlineLevel="0" collapsed="false"/>
  </sheetData>
  <mergeCells count="5">
    <mergeCell ref="A1:T2"/>
    <mergeCell ref="A3:T3"/>
    <mergeCell ref="K5:T6"/>
    <mergeCell ref="K68:T74"/>
    <mergeCell ref="A96:T9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25"/>
    <col collapsed="false" customWidth="true" hidden="false" outlineLevel="0" max="2" min="2" style="1" width="95"/>
  </cols>
  <sheetData>
    <row r="1" customFormat="false" ht="15" hidden="false" customHeight="true" outlineLevel="0" collapsed="false">
      <c r="A1" s="28" t="s">
        <v>1919</v>
      </c>
      <c r="B1" s="28"/>
      <c r="C1" s="28"/>
      <c r="D1" s="28"/>
      <c r="E1" s="28"/>
      <c r="F1" s="28"/>
      <c r="G1" s="28"/>
      <c r="H1" s="28"/>
    </row>
    <row r="2" customFormat="false" ht="15" hidden="false" customHeight="false" outlineLevel="0" collapsed="false">
      <c r="A2" s="28"/>
      <c r="B2" s="28"/>
      <c r="C2" s="28"/>
      <c r="D2" s="28"/>
      <c r="E2" s="28"/>
      <c r="F2" s="28"/>
      <c r="G2" s="28"/>
      <c r="H2" s="28"/>
    </row>
    <row r="3" customFormat="false" ht="15" hidden="false" customHeight="false" outlineLevel="0" collapsed="false">
      <c r="A3" s="11"/>
      <c r="B3" s="11"/>
    </row>
    <row r="4" customFormat="false" ht="15" hidden="false" customHeight="false" outlineLevel="0" collapsed="false">
      <c r="A4" s="9" t="s">
        <v>1920</v>
      </c>
      <c r="B4" s="9" t="s">
        <v>1921</v>
      </c>
    </row>
    <row r="5" customFormat="false" ht="48" hidden="false" customHeight="true" outlineLevel="0" collapsed="false">
      <c r="A5" s="29" t="s">
        <v>1922</v>
      </c>
      <c r="B5" s="11" t="str">
        <f aca="false">"The screening process retained "&amp;Results_Data_V5!B2&amp;" core studies from "&amp;SUM(Results_Data_V5!B2:B5)&amp;" records; "&amp;Results_Data_V5!B3&amp;" studies were contextual, "&amp;Results_Data_V5!B4&amp;" were excluded, and "&amp;Results_Data_V5!B5&amp;" duplicate was removed."</f>
        <v>The screening process retained 51 core studies from 59 records; 5 studies were contextual, 2 were excluded, and 1 duplicate was removed.</v>
      </c>
    </row>
    <row r="6" customFormat="false" ht="48" hidden="false" customHeight="true" outlineLevel="0" collapsed="false">
      <c r="A6" s="29" t="s">
        <v>1923</v>
      </c>
      <c r="B6" s="11" t="str">
        <f aca="false">"Publication activity increased from "&amp;Results_Data_V5!E2&amp;" included study in 2020 to a peak of "&amp;MAX(Results_Data_V5!E2:E8)&amp;" studies in "&amp;INDEX(Results_Data_V5!D2:D8,MATCH(MAX(Results_Data_V5!E2:E8),Results_Data_V5!E2:E8,0))&amp;"."</f>
        <v>Publication activity increased from 1 included study in 2020 to a peak of 16 studies in 2025.</v>
      </c>
    </row>
    <row r="7" customFormat="false" ht="48" hidden="false" customHeight="true" outlineLevel="0" collapsed="false">
      <c r="A7" s="29" t="s">
        <v>1924</v>
      </c>
      <c r="B7" s="11" t="str">
        <f aca="false">"Among the "&amp;Results_Data_V5!B2&amp;" included studies, "&amp;Results_Data_V5!K2&amp;" ("&amp;TEXT(Results_Data_V5!K2/Results_Data_V5!B2,"0%")&amp;") used simulation, "&amp;Results_Data_V5!K3&amp;" ("&amp;TEXT(Results_Data_V5!K3/Results_Data_V5!B2,"0%")&amp;") used analytical or modeling methods, and "&amp;Results_Data_V5!K4&amp;" ("&amp;TEXT(Results_Data_V5!K4/Results_Data_V5!B2,"0%")&amp;") reported experimental or testbed validation."</f>
        <v>Among the 51 included studies, 32 (63%) used simulation, 23 (45%) used analytical or modeling methods, and 16 (31%) reported experimental or testbed validation.</v>
      </c>
    </row>
    <row r="8" customFormat="false" ht="48" hidden="false" customHeight="true" outlineLevel="0" collapsed="false">
      <c r="A8" s="29" t="s">
        <v>1925</v>
      </c>
      <c r="B8" s="11" t="str">
        <f aca="false">"A total of "&amp;Results_Data_V5!K4&amp;" of the "&amp;Results_Data_V5!B2&amp;" included studies reported experimental/testbed evidence; "&amp;Results_Data_V5!N9&amp;" included field trials and "&amp;Results_Data_V5!N10&amp;" included industrial measurements."</f>
        <v>A total of 16 of the 51 included studies reported experimental/testbed evidence; 5 included field trials and 3 included industrial measurements.</v>
      </c>
    </row>
    <row r="9" customFormat="false" ht="48" hidden="false" customHeight="true" outlineLevel="0" collapsed="false">
      <c r="A9" s="29" t="s">
        <v>1926</v>
      </c>
      <c r="B9" s="11" t="str">
        <f aca="false">"Routing/mesh was the most frequently coded technical topic ("&amp;MAX(Results_Data_V5!B13:B28)&amp;" studies), followed by PHY and MAC, which appeared in "&amp;Results_Data_V5!B13&amp;" and "&amp;Results_Data_V5!B14&amp;" studies, respectively."</f>
        <v>Routing/mesh was the most frequently coded technical topic (23 studies), followed by PHY and MAC, which appeared in 22 and 22 studies, respectively.</v>
      </c>
    </row>
    <row r="10" customFormat="false" ht="48" hidden="false" customHeight="true" outlineLevel="0" collapsed="false">
      <c r="A10" s="29" t="s">
        <v>1825</v>
      </c>
      <c r="B10" s="11" t="str">
        <f aca="false">"Packet error/loss was the most frequently reported KPI ("&amp;MAX(Results_Data_V5!E13:E30)&amp;" studies), while latency appeared in "&amp;Results_Data_V5!E13&amp;" studies and reliability/outage in "&amp;Results_Data_V5!E19&amp;" studies."</f>
        <v>Packet error/loss was the most frequently reported KPI (40 studies), while latency appeared in 15 studies and reliability/outage in 15 studies.</v>
      </c>
    </row>
    <row r="11" customFormat="false" ht="48" hidden="false" customHeight="true" outlineLevel="0" collapsed="false">
      <c r="A11" s="29" t="s">
        <v>1891</v>
      </c>
      <c r="B11" s="11" t="str">
        <f aca="false">"Conference papers dominated the corpus with "&amp;Results_Data_V5!H2&amp;" studies, compared with "&amp;Results_Data_V5!H3&amp;" journal articles, "&amp;Results_Data_V5!H4&amp;" survey/overview papers, and "&amp;Results_Data_V5!H5&amp;" theses."</f>
        <v>Conference papers dominated the corpus with 36 studies, compared with 5 journal articles, 7 survey/overview papers, and 3 theses.</v>
      </c>
    </row>
    <row r="12" customFormat="false" ht="48" hidden="false" customHeight="true" outlineLevel="0" collapsed="false">
      <c r="A12" s="29" t="s">
        <v>1927</v>
      </c>
      <c r="B12" s="11" t="str">
        <f aca="false">"All percentages and charts use only the "&amp;Results_Data_V5!B2&amp;" records marked Include. Multi-label categories may exceed 100% when summed."</f>
        <v>All percentages and charts use only the 51 records marked Include. Multi-label categories may exceed 100% when summed.</v>
      </c>
    </row>
    <row r="13" customFormat="false" ht="15" hidden="false" customHeight="false" outlineLevel="0" collapsed="false">
      <c r="A13" s="11"/>
      <c r="B13" s="11"/>
    </row>
    <row r="14" customFormat="false" ht="15" hidden="false" customHeight="false" outlineLevel="0" collapsed="false">
      <c r="A14" s="11"/>
      <c r="B14" s="11"/>
    </row>
    <row r="15" customFormat="false" ht="15" hidden="false" customHeight="false" outlineLevel="0" collapsed="false">
      <c r="A15" s="11"/>
      <c r="B15" s="11"/>
    </row>
  </sheetData>
  <mergeCells count="1">
    <mergeCell ref="A1:H2"/>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8"/>
    <col collapsed="false" customWidth="true" hidden="false" outlineLevel="0" max="2" min="2" style="1" width="46"/>
    <col collapsed="false" customWidth="true" hidden="false" outlineLevel="0" max="3" min="3" style="1" width="14"/>
    <col collapsed="false" customWidth="true" hidden="false" outlineLevel="0" max="12" min="4" style="1" width="16"/>
  </cols>
  <sheetData>
    <row r="1" customFormat="false" ht="35.05" hidden="false" customHeight="false" outlineLevel="0" collapsed="false">
      <c r="A1" s="6" t="s">
        <v>805</v>
      </c>
      <c r="B1" s="6" t="s">
        <v>1012</v>
      </c>
      <c r="C1" s="6" t="s">
        <v>1724</v>
      </c>
      <c r="D1" s="6" t="s">
        <v>10</v>
      </c>
      <c r="E1" s="6" t="s">
        <v>12</v>
      </c>
      <c r="F1" s="6" t="s">
        <v>11</v>
      </c>
      <c r="G1" s="6" t="s">
        <v>17</v>
      </c>
      <c r="H1" s="6" t="s">
        <v>15</v>
      </c>
      <c r="I1" s="6" t="s">
        <v>16</v>
      </c>
      <c r="J1" s="6" t="s">
        <v>14</v>
      </c>
      <c r="K1" s="6" t="s">
        <v>13</v>
      </c>
      <c r="L1" s="6" t="s">
        <v>836</v>
      </c>
    </row>
    <row r="2" customFormat="false" ht="15" hidden="false" customHeight="false" outlineLevel="0" collapsed="false">
      <c r="A2" s="1" t="n">
        <v>1</v>
      </c>
      <c r="B2" s="1" t="s">
        <v>819</v>
      </c>
      <c r="C2" s="1" t="s">
        <v>795</v>
      </c>
      <c r="D2" s="1" t="n">
        <v>0</v>
      </c>
      <c r="E2" s="1" t="n">
        <v>1</v>
      </c>
      <c r="F2" s="1" t="n">
        <v>0</v>
      </c>
      <c r="G2" s="1" t="n">
        <v>0</v>
      </c>
      <c r="H2" s="1" t="n">
        <v>0</v>
      </c>
      <c r="I2" s="1" t="n">
        <v>0</v>
      </c>
      <c r="J2" s="1" t="n">
        <v>0</v>
      </c>
      <c r="K2" s="1" t="n">
        <v>0</v>
      </c>
      <c r="L2" s="1" t="n">
        <v>0</v>
      </c>
    </row>
    <row r="3" customFormat="false" ht="15" hidden="false" customHeight="false" outlineLevel="0" collapsed="false">
      <c r="A3" s="1" t="n">
        <v>2</v>
      </c>
      <c r="B3" s="1" t="s">
        <v>824</v>
      </c>
      <c r="C3" s="1" t="s">
        <v>795</v>
      </c>
      <c r="D3" s="1" t="n">
        <v>0</v>
      </c>
      <c r="E3" s="1" t="n">
        <v>1</v>
      </c>
      <c r="F3" s="1" t="n">
        <v>0</v>
      </c>
      <c r="G3" s="1" t="n">
        <v>0</v>
      </c>
      <c r="H3" s="1" t="n">
        <v>0</v>
      </c>
      <c r="I3" s="1" t="n">
        <v>0</v>
      </c>
      <c r="J3" s="1" t="n">
        <v>0</v>
      </c>
      <c r="K3" s="1" t="n">
        <v>0</v>
      </c>
      <c r="L3" s="1" t="n">
        <v>0</v>
      </c>
    </row>
    <row r="4" customFormat="false" ht="15" hidden="false" customHeight="false" outlineLevel="0" collapsed="false">
      <c r="A4" s="1" t="n">
        <v>3</v>
      </c>
      <c r="B4" s="1" t="s">
        <v>828</v>
      </c>
      <c r="C4" s="1" t="s">
        <v>795</v>
      </c>
      <c r="D4" s="1" t="n">
        <v>0</v>
      </c>
      <c r="E4" s="1" t="n">
        <v>0</v>
      </c>
      <c r="F4" s="1" t="n">
        <v>1</v>
      </c>
      <c r="G4" s="1" t="n">
        <v>0</v>
      </c>
      <c r="H4" s="1" t="n">
        <v>0</v>
      </c>
      <c r="I4" s="1" t="n">
        <v>0</v>
      </c>
      <c r="J4" s="1" t="n">
        <v>0</v>
      </c>
      <c r="K4" s="1" t="n">
        <v>0</v>
      </c>
      <c r="L4" s="1" t="n">
        <v>0</v>
      </c>
    </row>
    <row r="5" customFormat="false" ht="15" hidden="false" customHeight="false" outlineLevel="0" collapsed="false">
      <c r="A5" s="1" t="n">
        <v>4</v>
      </c>
      <c r="B5" s="1" t="s">
        <v>58</v>
      </c>
      <c r="C5" s="1" t="s">
        <v>795</v>
      </c>
      <c r="D5" s="1" t="n">
        <v>0</v>
      </c>
      <c r="E5" s="1" t="n">
        <v>0</v>
      </c>
      <c r="F5" s="1" t="n">
        <v>1</v>
      </c>
      <c r="G5" s="1" t="n">
        <v>0</v>
      </c>
      <c r="H5" s="1" t="n">
        <v>0</v>
      </c>
      <c r="I5" s="1" t="n">
        <v>0</v>
      </c>
      <c r="J5" s="1" t="n">
        <v>0</v>
      </c>
      <c r="K5" s="1" t="n">
        <v>0</v>
      </c>
      <c r="L5" s="1" t="n">
        <v>0</v>
      </c>
    </row>
    <row r="6" customFormat="false" ht="15" hidden="false" customHeight="false" outlineLevel="0" collapsed="false">
      <c r="A6" s="1" t="n">
        <v>5</v>
      </c>
      <c r="B6" s="1" t="s">
        <v>62</v>
      </c>
      <c r="C6" s="1" t="s">
        <v>835</v>
      </c>
      <c r="D6" s="1" t="n">
        <v>0</v>
      </c>
      <c r="E6" s="1" t="n">
        <v>0</v>
      </c>
      <c r="F6" s="1" t="n">
        <v>0</v>
      </c>
      <c r="G6" s="1" t="n">
        <v>0</v>
      </c>
      <c r="H6" s="1" t="n">
        <v>0</v>
      </c>
      <c r="I6" s="1" t="n">
        <v>0</v>
      </c>
      <c r="J6" s="1" t="n">
        <v>0</v>
      </c>
      <c r="K6" s="1" t="n">
        <v>0</v>
      </c>
      <c r="L6" s="1" t="n">
        <v>1</v>
      </c>
    </row>
    <row r="7" customFormat="false" ht="15" hidden="false" customHeight="false" outlineLevel="0" collapsed="false">
      <c r="A7" s="1" t="n">
        <v>6</v>
      </c>
      <c r="B7" s="1" t="s">
        <v>839</v>
      </c>
      <c r="C7" s="1" t="s">
        <v>835</v>
      </c>
      <c r="D7" s="1" t="n">
        <v>0</v>
      </c>
      <c r="E7" s="1" t="n">
        <v>0</v>
      </c>
      <c r="F7" s="1" t="n">
        <v>0</v>
      </c>
      <c r="G7" s="1" t="n">
        <v>1</v>
      </c>
      <c r="H7" s="1" t="n">
        <v>0</v>
      </c>
      <c r="I7" s="1" t="n">
        <v>0</v>
      </c>
      <c r="J7" s="1" t="n">
        <v>0</v>
      </c>
      <c r="K7" s="1" t="n">
        <v>0</v>
      </c>
      <c r="L7" s="1" t="n">
        <v>0</v>
      </c>
    </row>
    <row r="8" customFormat="false" ht="15" hidden="false" customHeight="false" outlineLevel="0" collapsed="false">
      <c r="A8" s="1" t="n">
        <v>7</v>
      </c>
      <c r="B8" s="1" t="s">
        <v>842</v>
      </c>
      <c r="C8" s="1" t="s">
        <v>795</v>
      </c>
      <c r="D8" s="1" t="n">
        <v>1</v>
      </c>
      <c r="E8" s="1" t="n">
        <v>0</v>
      </c>
      <c r="F8" s="1" t="n">
        <v>0</v>
      </c>
      <c r="G8" s="1" t="n">
        <v>0</v>
      </c>
      <c r="H8" s="1" t="n">
        <v>0</v>
      </c>
      <c r="I8" s="1" t="n">
        <v>0</v>
      </c>
      <c r="J8" s="1" t="n">
        <v>0</v>
      </c>
      <c r="K8" s="1" t="n">
        <v>0</v>
      </c>
      <c r="L8" s="1" t="n">
        <v>0</v>
      </c>
    </row>
    <row r="9" customFormat="false" ht="15" hidden="false" customHeight="false" outlineLevel="0" collapsed="false">
      <c r="A9" s="1" t="n">
        <v>8</v>
      </c>
      <c r="B9" s="1" t="s">
        <v>847</v>
      </c>
      <c r="C9" s="1" t="s">
        <v>795</v>
      </c>
      <c r="D9" s="1" t="n">
        <v>0</v>
      </c>
      <c r="E9" s="1" t="n">
        <v>0</v>
      </c>
      <c r="F9" s="1" t="n">
        <v>0</v>
      </c>
      <c r="G9" s="1" t="n">
        <v>1</v>
      </c>
      <c r="H9" s="1" t="n">
        <v>0</v>
      </c>
      <c r="I9" s="1" t="n">
        <v>0</v>
      </c>
      <c r="J9" s="1" t="n">
        <v>0</v>
      </c>
      <c r="K9" s="1" t="n">
        <v>0</v>
      </c>
      <c r="L9" s="1" t="n">
        <v>0</v>
      </c>
    </row>
    <row r="10" customFormat="false" ht="15" hidden="false" customHeight="false" outlineLevel="0" collapsed="false">
      <c r="A10" s="1" t="n">
        <v>9</v>
      </c>
      <c r="B10" s="1" t="s">
        <v>852</v>
      </c>
      <c r="C10" s="1" t="s">
        <v>795</v>
      </c>
      <c r="D10" s="1" t="n">
        <v>0</v>
      </c>
      <c r="E10" s="1" t="n">
        <v>0</v>
      </c>
      <c r="F10" s="1" t="n">
        <v>1</v>
      </c>
      <c r="G10" s="1" t="n">
        <v>0</v>
      </c>
      <c r="H10" s="1" t="n">
        <v>0</v>
      </c>
      <c r="I10" s="1" t="n">
        <v>0</v>
      </c>
      <c r="J10" s="1" t="n">
        <v>0</v>
      </c>
      <c r="K10" s="1" t="n">
        <v>0</v>
      </c>
      <c r="L10" s="1" t="n">
        <v>0</v>
      </c>
    </row>
    <row r="11" customFormat="false" ht="15" hidden="false" customHeight="false" outlineLevel="0" collapsed="false">
      <c r="A11" s="1" t="n">
        <v>10</v>
      </c>
      <c r="B11" s="1" t="s">
        <v>852</v>
      </c>
      <c r="C11" s="1" t="s">
        <v>297</v>
      </c>
      <c r="D11" s="1" t="n">
        <v>0</v>
      </c>
      <c r="E11" s="1" t="n">
        <v>0</v>
      </c>
      <c r="F11" s="1" t="n">
        <v>1</v>
      </c>
      <c r="G11" s="1" t="n">
        <v>0</v>
      </c>
      <c r="H11" s="1" t="n">
        <v>0</v>
      </c>
      <c r="I11" s="1" t="n">
        <v>0</v>
      </c>
      <c r="J11" s="1" t="n">
        <v>0</v>
      </c>
      <c r="K11" s="1" t="n">
        <v>0</v>
      </c>
      <c r="L11" s="1" t="n">
        <v>0</v>
      </c>
    </row>
    <row r="12" customFormat="false" ht="15" hidden="false" customHeight="false" outlineLevel="0" collapsed="false">
      <c r="A12" s="1" t="n">
        <v>11</v>
      </c>
      <c r="B12" s="1" t="s">
        <v>854</v>
      </c>
      <c r="C12" s="1" t="s">
        <v>795</v>
      </c>
      <c r="D12" s="1" t="n">
        <v>0</v>
      </c>
      <c r="E12" s="1" t="n">
        <v>0</v>
      </c>
      <c r="F12" s="1" t="n">
        <v>0</v>
      </c>
      <c r="G12" s="1" t="n">
        <v>0</v>
      </c>
      <c r="H12" s="1" t="n">
        <v>0</v>
      </c>
      <c r="I12" s="1" t="n">
        <v>1</v>
      </c>
      <c r="J12" s="1" t="n">
        <v>0</v>
      </c>
      <c r="K12" s="1" t="n">
        <v>0</v>
      </c>
      <c r="L12" s="1" t="n">
        <v>0</v>
      </c>
    </row>
    <row r="13" customFormat="false" ht="15" hidden="false" customHeight="false" outlineLevel="0" collapsed="false">
      <c r="A13" s="1" t="n">
        <v>12</v>
      </c>
      <c r="B13" s="1" t="s">
        <v>857</v>
      </c>
      <c r="C13" s="1" t="s">
        <v>795</v>
      </c>
      <c r="D13" s="1" t="n">
        <v>0</v>
      </c>
      <c r="E13" s="1" t="n">
        <v>0</v>
      </c>
      <c r="F13" s="1" t="n">
        <v>0</v>
      </c>
      <c r="G13" s="1" t="n">
        <v>0</v>
      </c>
      <c r="H13" s="1" t="n">
        <v>0</v>
      </c>
      <c r="I13" s="1" t="n">
        <v>1</v>
      </c>
      <c r="J13" s="1" t="n">
        <v>0</v>
      </c>
      <c r="K13" s="1" t="n">
        <v>0</v>
      </c>
      <c r="L13" s="1" t="n">
        <v>0</v>
      </c>
    </row>
    <row r="14" customFormat="false" ht="15" hidden="false" customHeight="false" outlineLevel="0" collapsed="false">
      <c r="A14" s="1" t="n">
        <v>13</v>
      </c>
      <c r="B14" s="1" t="s">
        <v>860</v>
      </c>
      <c r="C14" s="1" t="s">
        <v>795</v>
      </c>
      <c r="D14" s="1" t="n">
        <v>0</v>
      </c>
      <c r="E14" s="1" t="n">
        <v>0</v>
      </c>
      <c r="F14" s="1" t="n">
        <v>0</v>
      </c>
      <c r="G14" s="1" t="n">
        <v>0</v>
      </c>
      <c r="H14" s="1" t="n">
        <v>0</v>
      </c>
      <c r="I14" s="1" t="n">
        <v>0</v>
      </c>
      <c r="J14" s="1" t="n">
        <v>0</v>
      </c>
      <c r="K14" s="1" t="n">
        <v>0</v>
      </c>
      <c r="L14" s="1" t="n">
        <v>1</v>
      </c>
    </row>
    <row r="15" customFormat="false" ht="15" hidden="false" customHeight="false" outlineLevel="0" collapsed="false">
      <c r="A15" s="1" t="n">
        <v>14</v>
      </c>
      <c r="B15" s="1" t="s">
        <v>864</v>
      </c>
      <c r="C15" s="1" t="s">
        <v>795</v>
      </c>
      <c r="D15" s="1" t="n">
        <v>1</v>
      </c>
      <c r="E15" s="1" t="n">
        <v>0</v>
      </c>
      <c r="F15" s="1" t="n">
        <v>0</v>
      </c>
      <c r="G15" s="1" t="n">
        <v>0</v>
      </c>
      <c r="H15" s="1" t="n">
        <v>0</v>
      </c>
      <c r="I15" s="1" t="n">
        <v>0</v>
      </c>
      <c r="J15" s="1" t="n">
        <v>0</v>
      </c>
      <c r="K15" s="1" t="n">
        <v>0</v>
      </c>
      <c r="L15" s="1" t="n">
        <v>0</v>
      </c>
    </row>
    <row r="16" customFormat="false" ht="15" hidden="false" customHeight="false" outlineLevel="0" collapsed="false">
      <c r="A16" s="1" t="n">
        <v>15</v>
      </c>
      <c r="B16" s="1" t="s">
        <v>88</v>
      </c>
      <c r="C16" s="1" t="s">
        <v>795</v>
      </c>
      <c r="D16" s="1" t="n">
        <v>1</v>
      </c>
      <c r="E16" s="1" t="n">
        <v>0</v>
      </c>
      <c r="F16" s="1" t="n">
        <v>0</v>
      </c>
      <c r="G16" s="1" t="n">
        <v>0</v>
      </c>
      <c r="H16" s="1" t="n">
        <v>0</v>
      </c>
      <c r="I16" s="1" t="n">
        <v>0</v>
      </c>
      <c r="J16" s="1" t="n">
        <v>0</v>
      </c>
      <c r="K16" s="1" t="n">
        <v>0</v>
      </c>
      <c r="L16" s="1" t="n">
        <v>0</v>
      </c>
    </row>
    <row r="17" customFormat="false" ht="15" hidden="false" customHeight="false" outlineLevel="0" collapsed="false">
      <c r="A17" s="1" t="n">
        <v>16</v>
      </c>
      <c r="B17" s="1" t="s">
        <v>869</v>
      </c>
      <c r="C17" s="1" t="s">
        <v>870</v>
      </c>
      <c r="D17" s="1" t="n">
        <v>0</v>
      </c>
      <c r="E17" s="1" t="n">
        <v>0</v>
      </c>
      <c r="F17" s="1" t="n">
        <v>0</v>
      </c>
      <c r="G17" s="1" t="n">
        <v>0</v>
      </c>
      <c r="H17" s="1" t="n">
        <v>0</v>
      </c>
      <c r="I17" s="1" t="n">
        <v>0</v>
      </c>
      <c r="J17" s="1" t="n">
        <v>1</v>
      </c>
      <c r="K17" s="1" t="n">
        <v>0</v>
      </c>
      <c r="L17" s="1" t="n">
        <v>0</v>
      </c>
    </row>
    <row r="18" customFormat="false" ht="15" hidden="false" customHeight="false" outlineLevel="0" collapsed="false">
      <c r="A18" s="1" t="n">
        <v>17</v>
      </c>
      <c r="B18" s="1" t="s">
        <v>94</v>
      </c>
      <c r="C18" s="1" t="s">
        <v>795</v>
      </c>
      <c r="D18" s="1" t="n">
        <v>0</v>
      </c>
      <c r="E18" s="1" t="n">
        <v>0</v>
      </c>
      <c r="F18" s="1" t="n">
        <v>1</v>
      </c>
      <c r="G18" s="1" t="n">
        <v>0</v>
      </c>
      <c r="H18" s="1" t="n">
        <v>0</v>
      </c>
      <c r="I18" s="1" t="n">
        <v>0</v>
      </c>
      <c r="J18" s="1" t="n">
        <v>0</v>
      </c>
      <c r="K18" s="1" t="n">
        <v>0</v>
      </c>
      <c r="L18" s="1" t="n">
        <v>0</v>
      </c>
    </row>
    <row r="19" customFormat="false" ht="15" hidden="false" customHeight="false" outlineLevel="0" collapsed="false">
      <c r="A19" s="1" t="n">
        <v>18</v>
      </c>
      <c r="B19" s="1" t="s">
        <v>877</v>
      </c>
      <c r="C19" s="1" t="s">
        <v>795</v>
      </c>
      <c r="D19" s="1" t="n">
        <v>0</v>
      </c>
      <c r="E19" s="1" t="n">
        <v>1</v>
      </c>
      <c r="F19" s="1" t="n">
        <v>0</v>
      </c>
      <c r="G19" s="1" t="n">
        <v>0</v>
      </c>
      <c r="H19" s="1" t="n">
        <v>0</v>
      </c>
      <c r="I19" s="1" t="n">
        <v>0</v>
      </c>
      <c r="J19" s="1" t="n">
        <v>0</v>
      </c>
      <c r="K19" s="1" t="n">
        <v>0</v>
      </c>
      <c r="L19" s="1" t="n">
        <v>0</v>
      </c>
    </row>
    <row r="20" customFormat="false" ht="15" hidden="false" customHeight="false" outlineLevel="0" collapsed="false">
      <c r="A20" s="1" t="n">
        <v>19</v>
      </c>
      <c r="B20" s="1" t="s">
        <v>882</v>
      </c>
      <c r="C20" s="1" t="s">
        <v>795</v>
      </c>
      <c r="D20" s="1" t="n">
        <v>0</v>
      </c>
      <c r="E20" s="1" t="n">
        <v>1</v>
      </c>
      <c r="F20" s="1" t="n">
        <v>0</v>
      </c>
      <c r="G20" s="1" t="n">
        <v>0</v>
      </c>
      <c r="H20" s="1" t="n">
        <v>0</v>
      </c>
      <c r="I20" s="1" t="n">
        <v>0</v>
      </c>
      <c r="J20" s="1" t="n">
        <v>0</v>
      </c>
      <c r="K20" s="1" t="n">
        <v>0</v>
      </c>
      <c r="L20" s="1" t="n">
        <v>0</v>
      </c>
    </row>
    <row r="21" customFormat="false" ht="15" hidden="false" customHeight="false" outlineLevel="0" collapsed="false">
      <c r="A21" s="1" t="n">
        <v>20</v>
      </c>
      <c r="B21" s="1" t="s">
        <v>885</v>
      </c>
      <c r="C21" s="1" t="s">
        <v>795</v>
      </c>
      <c r="D21" s="1" t="n">
        <v>1</v>
      </c>
      <c r="E21" s="1" t="n">
        <v>0</v>
      </c>
      <c r="F21" s="1" t="n">
        <v>0</v>
      </c>
      <c r="G21" s="1" t="n">
        <v>0</v>
      </c>
      <c r="H21" s="1" t="n">
        <v>0</v>
      </c>
      <c r="I21" s="1" t="n">
        <v>0</v>
      </c>
      <c r="J21" s="1" t="n">
        <v>0</v>
      </c>
      <c r="K21" s="1" t="n">
        <v>0</v>
      </c>
      <c r="L21" s="1" t="n">
        <v>0</v>
      </c>
    </row>
    <row r="22" customFormat="false" ht="15" hidden="false" customHeight="false" outlineLevel="0" collapsed="false">
      <c r="A22" s="1" t="n">
        <v>21</v>
      </c>
      <c r="B22" s="1" t="s">
        <v>102</v>
      </c>
      <c r="C22" s="1" t="s">
        <v>795</v>
      </c>
      <c r="D22" s="1" t="n">
        <v>1</v>
      </c>
      <c r="E22" s="1" t="n">
        <v>0</v>
      </c>
      <c r="F22" s="1" t="n">
        <v>0</v>
      </c>
      <c r="G22" s="1" t="n">
        <v>0</v>
      </c>
      <c r="H22" s="1" t="n">
        <v>0</v>
      </c>
      <c r="I22" s="1" t="n">
        <v>0</v>
      </c>
      <c r="J22" s="1" t="n">
        <v>0</v>
      </c>
      <c r="K22" s="1" t="n">
        <v>0</v>
      </c>
      <c r="L22" s="1" t="n">
        <v>0</v>
      </c>
    </row>
    <row r="23" customFormat="false" ht="15" hidden="false" customHeight="false" outlineLevel="0" collapsed="false">
      <c r="A23" s="1" t="n">
        <v>22</v>
      </c>
      <c r="B23" s="1" t="s">
        <v>892</v>
      </c>
      <c r="C23" s="1" t="s">
        <v>795</v>
      </c>
      <c r="D23" s="1" t="n">
        <v>0</v>
      </c>
      <c r="E23" s="1" t="n">
        <v>0</v>
      </c>
      <c r="F23" s="1" t="n">
        <v>0</v>
      </c>
      <c r="G23" s="1" t="n">
        <v>0</v>
      </c>
      <c r="H23" s="1" t="n">
        <v>0</v>
      </c>
      <c r="I23" s="1" t="n">
        <v>0</v>
      </c>
      <c r="J23" s="1" t="n">
        <v>1</v>
      </c>
      <c r="K23" s="1" t="n">
        <v>0</v>
      </c>
      <c r="L23" s="1" t="n">
        <v>0</v>
      </c>
    </row>
    <row r="24" customFormat="false" ht="15" hidden="false" customHeight="false" outlineLevel="0" collapsed="false">
      <c r="A24" s="1" t="n">
        <v>23</v>
      </c>
      <c r="B24" s="1" t="s">
        <v>896</v>
      </c>
      <c r="C24" s="1" t="s">
        <v>795</v>
      </c>
      <c r="D24" s="1" t="n">
        <v>0</v>
      </c>
      <c r="E24" s="1" t="n">
        <v>0</v>
      </c>
      <c r="F24" s="1" t="n">
        <v>0</v>
      </c>
      <c r="G24" s="1" t="n">
        <v>0</v>
      </c>
      <c r="H24" s="1" t="n">
        <v>0</v>
      </c>
      <c r="I24" s="1" t="n">
        <v>0</v>
      </c>
      <c r="J24" s="1" t="n">
        <v>1</v>
      </c>
      <c r="K24" s="1" t="n">
        <v>0</v>
      </c>
      <c r="L24" s="1" t="n">
        <v>0</v>
      </c>
    </row>
    <row r="25" customFormat="false" ht="15" hidden="false" customHeight="false" outlineLevel="0" collapsed="false">
      <c r="A25" s="1" t="n">
        <v>24</v>
      </c>
      <c r="B25" s="1" t="s">
        <v>899</v>
      </c>
      <c r="C25" s="1" t="s">
        <v>835</v>
      </c>
      <c r="D25" s="1" t="n">
        <v>0</v>
      </c>
      <c r="E25" s="1" t="n">
        <v>0</v>
      </c>
      <c r="F25" s="1" t="n">
        <v>0</v>
      </c>
      <c r="G25" s="1" t="n">
        <v>0</v>
      </c>
      <c r="H25" s="1" t="n">
        <v>0</v>
      </c>
      <c r="I25" s="1" t="n">
        <v>0</v>
      </c>
      <c r="J25" s="1" t="n">
        <v>1</v>
      </c>
      <c r="K25" s="1" t="n">
        <v>0</v>
      </c>
      <c r="L25" s="1" t="n">
        <v>0</v>
      </c>
    </row>
    <row r="26" customFormat="false" ht="15" hidden="false" customHeight="false" outlineLevel="0" collapsed="false">
      <c r="A26" s="1" t="n">
        <v>25</v>
      </c>
      <c r="B26" s="1" t="s">
        <v>902</v>
      </c>
      <c r="C26" s="1" t="s">
        <v>795</v>
      </c>
      <c r="D26" s="1" t="n">
        <v>1</v>
      </c>
      <c r="E26" s="1" t="n">
        <v>0</v>
      </c>
      <c r="F26" s="1" t="n">
        <v>0</v>
      </c>
      <c r="G26" s="1" t="n">
        <v>0</v>
      </c>
      <c r="H26" s="1" t="n">
        <v>0</v>
      </c>
      <c r="I26" s="1" t="n">
        <v>0</v>
      </c>
      <c r="J26" s="1" t="n">
        <v>0</v>
      </c>
      <c r="K26" s="1" t="n">
        <v>0</v>
      </c>
      <c r="L26" s="1" t="n">
        <v>0</v>
      </c>
    </row>
    <row r="27" customFormat="false" ht="15" hidden="false" customHeight="false" outlineLevel="0" collapsed="false">
      <c r="A27" s="1" t="n">
        <v>26</v>
      </c>
      <c r="B27" s="1" t="s">
        <v>906</v>
      </c>
      <c r="C27" s="1" t="s">
        <v>795</v>
      </c>
      <c r="D27" s="1" t="n">
        <v>0</v>
      </c>
      <c r="E27" s="1" t="n">
        <v>0</v>
      </c>
      <c r="F27" s="1" t="n">
        <v>0</v>
      </c>
      <c r="G27" s="1" t="n">
        <v>0</v>
      </c>
      <c r="H27" s="1" t="n">
        <v>0</v>
      </c>
      <c r="I27" s="1" t="n">
        <v>0</v>
      </c>
      <c r="J27" s="1" t="n">
        <v>0</v>
      </c>
      <c r="K27" s="1" t="n">
        <v>0</v>
      </c>
      <c r="L27" s="1" t="n">
        <v>1</v>
      </c>
    </row>
    <row r="28" customFormat="false" ht="15" hidden="false" customHeight="false" outlineLevel="0" collapsed="false">
      <c r="A28" s="1" t="n">
        <v>27</v>
      </c>
      <c r="B28" s="1" t="s">
        <v>115</v>
      </c>
      <c r="C28" s="1" t="s">
        <v>795</v>
      </c>
      <c r="D28" s="1" t="n">
        <v>0</v>
      </c>
      <c r="E28" s="1" t="n">
        <v>0</v>
      </c>
      <c r="F28" s="1" t="n">
        <v>0</v>
      </c>
      <c r="G28" s="1" t="n">
        <v>0</v>
      </c>
      <c r="H28" s="1" t="n">
        <v>0</v>
      </c>
      <c r="I28" s="1" t="n">
        <v>0</v>
      </c>
      <c r="J28" s="1" t="n">
        <v>1</v>
      </c>
      <c r="K28" s="1" t="n">
        <v>0</v>
      </c>
      <c r="L28" s="1" t="n">
        <v>0</v>
      </c>
    </row>
    <row r="29" customFormat="false" ht="15" hidden="false" customHeight="false" outlineLevel="0" collapsed="false">
      <c r="A29" s="1" t="n">
        <v>28</v>
      </c>
      <c r="B29" s="1" t="s">
        <v>914</v>
      </c>
      <c r="C29" s="1" t="s">
        <v>795</v>
      </c>
      <c r="D29" s="1" t="n">
        <v>1</v>
      </c>
      <c r="E29" s="1" t="n">
        <v>0</v>
      </c>
      <c r="F29" s="1" t="n">
        <v>0</v>
      </c>
      <c r="G29" s="1" t="n">
        <v>0</v>
      </c>
      <c r="H29" s="1" t="n">
        <v>0</v>
      </c>
      <c r="I29" s="1" t="n">
        <v>0</v>
      </c>
      <c r="J29" s="1" t="n">
        <v>0</v>
      </c>
      <c r="K29" s="1" t="n">
        <v>0</v>
      </c>
      <c r="L29" s="1" t="n">
        <v>0</v>
      </c>
    </row>
    <row r="30" customFormat="false" ht="15" hidden="false" customHeight="false" outlineLevel="0" collapsed="false">
      <c r="A30" s="1" t="n">
        <v>29</v>
      </c>
      <c r="B30" s="1" t="s">
        <v>917</v>
      </c>
      <c r="C30" s="1" t="s">
        <v>795</v>
      </c>
      <c r="D30" s="1" t="n">
        <v>1</v>
      </c>
      <c r="E30" s="1" t="n">
        <v>0</v>
      </c>
      <c r="F30" s="1" t="n">
        <v>0</v>
      </c>
      <c r="G30" s="1" t="n">
        <v>0</v>
      </c>
      <c r="H30" s="1" t="n">
        <v>0</v>
      </c>
      <c r="I30" s="1" t="n">
        <v>0</v>
      </c>
      <c r="J30" s="1" t="n">
        <v>0</v>
      </c>
      <c r="K30" s="1" t="n">
        <v>0</v>
      </c>
      <c r="L30" s="1" t="n">
        <v>0</v>
      </c>
    </row>
    <row r="31" customFormat="false" ht="15" hidden="false" customHeight="false" outlineLevel="0" collapsed="false">
      <c r="A31" s="1" t="n">
        <v>30</v>
      </c>
      <c r="B31" s="1" t="s">
        <v>921</v>
      </c>
      <c r="C31" s="1" t="s">
        <v>795</v>
      </c>
      <c r="D31" s="1" t="n">
        <v>1</v>
      </c>
      <c r="E31" s="1" t="n">
        <v>0</v>
      </c>
      <c r="F31" s="1" t="n">
        <v>0</v>
      </c>
      <c r="G31" s="1" t="n">
        <v>0</v>
      </c>
      <c r="H31" s="1" t="n">
        <v>0</v>
      </c>
      <c r="I31" s="1" t="n">
        <v>0</v>
      </c>
      <c r="J31" s="1" t="n">
        <v>0</v>
      </c>
      <c r="K31" s="1" t="n">
        <v>0</v>
      </c>
      <c r="L31" s="1" t="n">
        <v>0</v>
      </c>
    </row>
    <row r="32" customFormat="false" ht="15" hidden="false" customHeight="false" outlineLevel="0" collapsed="false">
      <c r="A32" s="1" t="n">
        <v>31</v>
      </c>
      <c r="B32" s="1" t="s">
        <v>924</v>
      </c>
      <c r="C32" s="1" t="s">
        <v>795</v>
      </c>
      <c r="D32" s="1" t="n">
        <v>0</v>
      </c>
      <c r="E32" s="1" t="n">
        <v>0</v>
      </c>
      <c r="F32" s="1" t="n">
        <v>0</v>
      </c>
      <c r="G32" s="1" t="n">
        <v>0</v>
      </c>
      <c r="H32" s="1" t="n">
        <v>0</v>
      </c>
      <c r="I32" s="1" t="n">
        <v>0</v>
      </c>
      <c r="J32" s="1" t="n">
        <v>1</v>
      </c>
      <c r="K32" s="1" t="n">
        <v>0</v>
      </c>
      <c r="L32" s="1" t="n">
        <v>0</v>
      </c>
    </row>
    <row r="33" customFormat="false" ht="15" hidden="false" customHeight="false" outlineLevel="0" collapsed="false">
      <c r="A33" s="1" t="n">
        <v>32</v>
      </c>
      <c r="B33" s="1" t="s">
        <v>928</v>
      </c>
      <c r="C33" s="1" t="s">
        <v>795</v>
      </c>
      <c r="D33" s="1" t="n">
        <v>0</v>
      </c>
      <c r="E33" s="1" t="n">
        <v>0</v>
      </c>
      <c r="F33" s="1" t="n">
        <v>0</v>
      </c>
      <c r="G33" s="1" t="n">
        <v>0</v>
      </c>
      <c r="H33" s="1" t="n">
        <v>0</v>
      </c>
      <c r="I33" s="1" t="n">
        <v>0</v>
      </c>
      <c r="J33" s="1" t="n">
        <v>0</v>
      </c>
      <c r="K33" s="1" t="n">
        <v>0</v>
      </c>
      <c r="L33" s="1" t="n">
        <v>1</v>
      </c>
    </row>
    <row r="34" customFormat="false" ht="15" hidden="false" customHeight="false" outlineLevel="0" collapsed="false">
      <c r="A34" s="1" t="n">
        <v>33</v>
      </c>
      <c r="B34" s="1" t="s">
        <v>932</v>
      </c>
      <c r="C34" s="1" t="s">
        <v>795</v>
      </c>
      <c r="D34" s="1" t="n">
        <v>0</v>
      </c>
      <c r="E34" s="1" t="n">
        <v>0</v>
      </c>
      <c r="F34" s="1" t="n">
        <v>0</v>
      </c>
      <c r="G34" s="1" t="n">
        <v>0</v>
      </c>
      <c r="H34" s="1" t="n">
        <v>0</v>
      </c>
      <c r="I34" s="1" t="n">
        <v>0</v>
      </c>
      <c r="J34" s="1" t="n">
        <v>0</v>
      </c>
      <c r="K34" s="1" t="n">
        <v>1</v>
      </c>
      <c r="L34" s="1" t="n">
        <v>0</v>
      </c>
    </row>
    <row r="35" customFormat="false" ht="15" hidden="false" customHeight="false" outlineLevel="0" collapsed="false">
      <c r="A35" s="1" t="n">
        <v>34</v>
      </c>
      <c r="B35" s="1" t="s">
        <v>935</v>
      </c>
      <c r="C35" s="1" t="s">
        <v>795</v>
      </c>
      <c r="D35" s="1" t="n">
        <v>0</v>
      </c>
      <c r="E35" s="1" t="n">
        <v>0</v>
      </c>
      <c r="F35" s="1" t="n">
        <v>0</v>
      </c>
      <c r="G35" s="1" t="n">
        <v>0</v>
      </c>
      <c r="H35" s="1" t="n">
        <v>0</v>
      </c>
      <c r="I35" s="1" t="n">
        <v>0</v>
      </c>
      <c r="J35" s="1" t="n">
        <v>1</v>
      </c>
      <c r="K35" s="1" t="n">
        <v>0</v>
      </c>
      <c r="L35" s="1" t="n">
        <v>0</v>
      </c>
    </row>
    <row r="36" customFormat="false" ht="15" hidden="false" customHeight="false" outlineLevel="0" collapsed="false">
      <c r="A36" s="1" t="n">
        <v>35</v>
      </c>
      <c r="B36" s="1" t="s">
        <v>132</v>
      </c>
      <c r="C36" s="1" t="s">
        <v>835</v>
      </c>
      <c r="D36" s="1" t="n">
        <v>0</v>
      </c>
      <c r="E36" s="1" t="n">
        <v>0</v>
      </c>
      <c r="F36" s="1" t="n">
        <v>0</v>
      </c>
      <c r="G36" s="1" t="n">
        <v>0</v>
      </c>
      <c r="H36" s="1" t="n">
        <v>0</v>
      </c>
      <c r="I36" s="1" t="n">
        <v>1</v>
      </c>
      <c r="J36" s="1" t="n">
        <v>0</v>
      </c>
      <c r="K36" s="1" t="n">
        <v>0</v>
      </c>
      <c r="L36" s="1" t="n">
        <v>0</v>
      </c>
    </row>
    <row r="37" customFormat="false" ht="15" hidden="false" customHeight="false" outlineLevel="0" collapsed="false">
      <c r="A37" s="1" t="n">
        <v>36</v>
      </c>
      <c r="B37" s="1" t="s">
        <v>134</v>
      </c>
      <c r="C37" s="1" t="s">
        <v>795</v>
      </c>
      <c r="D37" s="1" t="n">
        <v>0</v>
      </c>
      <c r="E37" s="1" t="n">
        <v>0</v>
      </c>
      <c r="F37" s="1" t="n">
        <v>0</v>
      </c>
      <c r="G37" s="1" t="n">
        <v>0</v>
      </c>
      <c r="H37" s="1" t="n">
        <v>0</v>
      </c>
      <c r="I37" s="1" t="n">
        <v>0</v>
      </c>
      <c r="J37" s="1" t="n">
        <v>0</v>
      </c>
      <c r="K37" s="1" t="n">
        <v>1</v>
      </c>
      <c r="L37" s="1" t="n">
        <v>0</v>
      </c>
    </row>
    <row r="38" customFormat="false" ht="15" hidden="false" customHeight="false" outlineLevel="0" collapsed="false">
      <c r="A38" s="1" t="n">
        <v>37</v>
      </c>
      <c r="B38" s="1" t="s">
        <v>944</v>
      </c>
      <c r="C38" s="1" t="s">
        <v>795</v>
      </c>
      <c r="D38" s="1" t="n">
        <v>0</v>
      </c>
      <c r="E38" s="1" t="n">
        <v>0</v>
      </c>
      <c r="F38" s="1" t="n">
        <v>1</v>
      </c>
      <c r="G38" s="1" t="n">
        <v>0</v>
      </c>
      <c r="H38" s="1" t="n">
        <v>0</v>
      </c>
      <c r="I38" s="1" t="n">
        <v>0</v>
      </c>
      <c r="J38" s="1" t="n">
        <v>0</v>
      </c>
      <c r="K38" s="1" t="n">
        <v>0</v>
      </c>
      <c r="L38" s="1" t="n">
        <v>0</v>
      </c>
    </row>
    <row r="39" customFormat="false" ht="15" hidden="false" customHeight="false" outlineLevel="0" collapsed="false">
      <c r="A39" s="1" t="n">
        <v>38</v>
      </c>
      <c r="B39" s="1" t="s">
        <v>947</v>
      </c>
      <c r="C39" s="1" t="s">
        <v>795</v>
      </c>
      <c r="D39" s="1" t="n">
        <v>0</v>
      </c>
      <c r="E39" s="1" t="n">
        <v>0</v>
      </c>
      <c r="F39" s="1" t="n">
        <v>0</v>
      </c>
      <c r="G39" s="1" t="n">
        <v>0</v>
      </c>
      <c r="H39" s="1" t="n">
        <v>0</v>
      </c>
      <c r="I39" s="1" t="n">
        <v>0</v>
      </c>
      <c r="J39" s="1" t="n">
        <v>0</v>
      </c>
      <c r="K39" s="1" t="n">
        <v>1</v>
      </c>
      <c r="L39" s="1" t="n">
        <v>0</v>
      </c>
    </row>
    <row r="40" customFormat="false" ht="15" hidden="false" customHeight="false" outlineLevel="0" collapsed="false">
      <c r="A40" s="1" t="n">
        <v>39</v>
      </c>
      <c r="B40" s="1" t="s">
        <v>949</v>
      </c>
      <c r="C40" s="1" t="s">
        <v>795</v>
      </c>
      <c r="D40" s="1" t="n">
        <v>1</v>
      </c>
      <c r="E40" s="1" t="n">
        <v>0</v>
      </c>
      <c r="F40" s="1" t="n">
        <v>0</v>
      </c>
      <c r="G40" s="1" t="n">
        <v>0</v>
      </c>
      <c r="H40" s="1" t="n">
        <v>0</v>
      </c>
      <c r="I40" s="1" t="n">
        <v>0</v>
      </c>
      <c r="J40" s="1" t="n">
        <v>0</v>
      </c>
      <c r="K40" s="1" t="n">
        <v>0</v>
      </c>
      <c r="L40" s="1" t="n">
        <v>0</v>
      </c>
    </row>
    <row r="41" customFormat="false" ht="15" hidden="false" customHeight="false" outlineLevel="0" collapsed="false">
      <c r="A41" s="1" t="n">
        <v>40</v>
      </c>
      <c r="B41" s="1" t="s">
        <v>952</v>
      </c>
      <c r="C41" s="1" t="s">
        <v>795</v>
      </c>
      <c r="D41" s="1" t="n">
        <v>0</v>
      </c>
      <c r="E41" s="1" t="n">
        <v>0</v>
      </c>
      <c r="F41" s="1" t="n">
        <v>0</v>
      </c>
      <c r="G41" s="1" t="n">
        <v>0</v>
      </c>
      <c r="H41" s="1" t="n">
        <v>0</v>
      </c>
      <c r="I41" s="1" t="n">
        <v>0</v>
      </c>
      <c r="J41" s="1" t="n">
        <v>1</v>
      </c>
      <c r="K41" s="1" t="n">
        <v>0</v>
      </c>
      <c r="L41" s="1" t="n">
        <v>0</v>
      </c>
    </row>
    <row r="42" customFormat="false" ht="15" hidden="false" customHeight="false" outlineLevel="0" collapsed="false">
      <c r="A42" s="1" t="n">
        <v>41</v>
      </c>
      <c r="B42" s="1" t="s">
        <v>956</v>
      </c>
      <c r="C42" s="1" t="s">
        <v>795</v>
      </c>
      <c r="D42" s="1" t="n">
        <v>0</v>
      </c>
      <c r="E42" s="1" t="n">
        <v>0</v>
      </c>
      <c r="F42" s="1" t="n">
        <v>0</v>
      </c>
      <c r="G42" s="1" t="n">
        <v>0</v>
      </c>
      <c r="H42" s="1" t="n">
        <v>0</v>
      </c>
      <c r="I42" s="1" t="n">
        <v>0</v>
      </c>
      <c r="J42" s="1" t="n">
        <v>0</v>
      </c>
      <c r="K42" s="1" t="n">
        <v>0</v>
      </c>
      <c r="L42" s="1" t="n">
        <v>1</v>
      </c>
    </row>
    <row r="43" customFormat="false" ht="15" hidden="false" customHeight="false" outlineLevel="0" collapsed="false">
      <c r="A43" s="1" t="n">
        <v>42</v>
      </c>
      <c r="B43" s="1" t="s">
        <v>959</v>
      </c>
      <c r="C43" s="1" t="s">
        <v>795</v>
      </c>
      <c r="D43" s="1" t="n">
        <v>0</v>
      </c>
      <c r="E43" s="1" t="n">
        <v>0</v>
      </c>
      <c r="F43" s="1" t="n">
        <v>0</v>
      </c>
      <c r="G43" s="1" t="n">
        <v>0</v>
      </c>
      <c r="H43" s="1" t="n">
        <v>0</v>
      </c>
      <c r="I43" s="1" t="n">
        <v>0</v>
      </c>
      <c r="J43" s="1" t="n">
        <v>1</v>
      </c>
      <c r="K43" s="1" t="n">
        <v>0</v>
      </c>
      <c r="L43" s="1" t="n">
        <v>0</v>
      </c>
    </row>
    <row r="44" customFormat="false" ht="15" hidden="false" customHeight="false" outlineLevel="0" collapsed="false">
      <c r="A44" s="1" t="n">
        <v>43</v>
      </c>
      <c r="B44" s="1" t="s">
        <v>962</v>
      </c>
      <c r="C44" s="1" t="s">
        <v>795</v>
      </c>
      <c r="D44" s="1" t="n">
        <v>0</v>
      </c>
      <c r="E44" s="1" t="n">
        <v>0</v>
      </c>
      <c r="F44" s="1" t="n">
        <v>0</v>
      </c>
      <c r="G44" s="1" t="n">
        <v>0</v>
      </c>
      <c r="H44" s="1" t="n">
        <v>0</v>
      </c>
      <c r="I44" s="1" t="n">
        <v>0</v>
      </c>
      <c r="J44" s="1" t="n">
        <v>1</v>
      </c>
      <c r="K44" s="1" t="n">
        <v>0</v>
      </c>
      <c r="L44" s="1" t="n">
        <v>0</v>
      </c>
    </row>
    <row r="45" customFormat="false" ht="15" hidden="false" customHeight="false" outlineLevel="0" collapsed="false">
      <c r="A45" s="1" t="n">
        <v>44</v>
      </c>
      <c r="B45" s="1" t="s">
        <v>965</v>
      </c>
      <c r="C45" s="1" t="s">
        <v>795</v>
      </c>
      <c r="D45" s="1" t="n">
        <v>0</v>
      </c>
      <c r="E45" s="1" t="n">
        <v>0</v>
      </c>
      <c r="F45" s="1" t="n">
        <v>0</v>
      </c>
      <c r="G45" s="1" t="n">
        <v>0</v>
      </c>
      <c r="H45" s="1" t="n">
        <v>0</v>
      </c>
      <c r="I45" s="1" t="n">
        <v>0</v>
      </c>
      <c r="J45" s="1" t="n">
        <v>1</v>
      </c>
      <c r="K45" s="1" t="n">
        <v>0</v>
      </c>
      <c r="L45" s="1" t="n">
        <v>0</v>
      </c>
    </row>
    <row r="46" customFormat="false" ht="15" hidden="false" customHeight="false" outlineLevel="0" collapsed="false">
      <c r="A46" s="1" t="n">
        <v>45</v>
      </c>
      <c r="B46" s="1" t="s">
        <v>968</v>
      </c>
      <c r="C46" s="1" t="s">
        <v>870</v>
      </c>
      <c r="D46" s="1" t="n">
        <v>0</v>
      </c>
      <c r="E46" s="1" t="n">
        <v>0</v>
      </c>
      <c r="F46" s="1" t="n">
        <v>0</v>
      </c>
      <c r="G46" s="1" t="n">
        <v>0</v>
      </c>
      <c r="H46" s="1" t="n">
        <v>0</v>
      </c>
      <c r="I46" s="1" t="n">
        <v>0</v>
      </c>
      <c r="J46" s="1" t="n">
        <v>1</v>
      </c>
      <c r="K46" s="1" t="n">
        <v>0</v>
      </c>
      <c r="L46" s="1" t="n">
        <v>0</v>
      </c>
    </row>
    <row r="47" customFormat="false" ht="15" hidden="false" customHeight="false" outlineLevel="0" collapsed="false">
      <c r="A47" s="1" t="n">
        <v>46</v>
      </c>
      <c r="B47" s="1" t="s">
        <v>970</v>
      </c>
      <c r="C47" s="1" t="s">
        <v>795</v>
      </c>
      <c r="D47" s="1" t="n">
        <v>0</v>
      </c>
      <c r="E47" s="1" t="n">
        <v>0</v>
      </c>
      <c r="F47" s="1" t="n">
        <v>1</v>
      </c>
      <c r="G47" s="1" t="n">
        <v>0</v>
      </c>
      <c r="H47" s="1" t="n">
        <v>0</v>
      </c>
      <c r="I47" s="1" t="n">
        <v>0</v>
      </c>
      <c r="J47" s="1" t="n">
        <v>0</v>
      </c>
      <c r="K47" s="1" t="n">
        <v>0</v>
      </c>
      <c r="L47" s="1" t="n">
        <v>0</v>
      </c>
    </row>
    <row r="48" customFormat="false" ht="15" hidden="false" customHeight="false" outlineLevel="0" collapsed="false">
      <c r="A48" s="1" t="n">
        <v>47</v>
      </c>
      <c r="B48" s="1" t="s">
        <v>973</v>
      </c>
      <c r="C48" s="1" t="s">
        <v>795</v>
      </c>
      <c r="D48" s="1" t="n">
        <v>0</v>
      </c>
      <c r="E48" s="1" t="n">
        <v>0</v>
      </c>
      <c r="F48" s="1" t="n">
        <v>0</v>
      </c>
      <c r="G48" s="1" t="n">
        <v>0</v>
      </c>
      <c r="H48" s="1" t="n">
        <v>1</v>
      </c>
      <c r="I48" s="1" t="n">
        <v>0</v>
      </c>
      <c r="J48" s="1" t="n">
        <v>0</v>
      </c>
      <c r="K48" s="1" t="n">
        <v>0</v>
      </c>
      <c r="L48" s="1" t="n">
        <v>0</v>
      </c>
    </row>
    <row r="49" customFormat="false" ht="15" hidden="false" customHeight="false" outlineLevel="0" collapsed="false">
      <c r="A49" s="1" t="n">
        <v>48</v>
      </c>
      <c r="B49" s="1" t="s">
        <v>976</v>
      </c>
      <c r="C49" s="1" t="s">
        <v>795</v>
      </c>
      <c r="D49" s="1" t="n">
        <v>0</v>
      </c>
      <c r="E49" s="1" t="n">
        <v>0</v>
      </c>
      <c r="F49" s="1" t="n">
        <v>0</v>
      </c>
      <c r="G49" s="1" t="n">
        <v>0</v>
      </c>
      <c r="H49" s="1" t="n">
        <v>1</v>
      </c>
      <c r="I49" s="1" t="n">
        <v>0</v>
      </c>
      <c r="J49" s="1" t="n">
        <v>0</v>
      </c>
      <c r="K49" s="1" t="n">
        <v>0</v>
      </c>
      <c r="L49" s="1" t="n">
        <v>0</v>
      </c>
    </row>
    <row r="50" customFormat="false" ht="15" hidden="false" customHeight="false" outlineLevel="0" collapsed="false">
      <c r="A50" s="1" t="n">
        <v>49</v>
      </c>
      <c r="B50" s="1" t="s">
        <v>979</v>
      </c>
      <c r="C50" s="1" t="s">
        <v>795</v>
      </c>
      <c r="D50" s="1" t="n">
        <v>0</v>
      </c>
      <c r="E50" s="1" t="n">
        <v>1</v>
      </c>
      <c r="F50" s="1" t="n">
        <v>0</v>
      </c>
      <c r="G50" s="1" t="n">
        <v>0</v>
      </c>
      <c r="H50" s="1" t="n">
        <v>0</v>
      </c>
      <c r="I50" s="1" t="n">
        <v>0</v>
      </c>
      <c r="J50" s="1" t="n">
        <v>0</v>
      </c>
      <c r="K50" s="1" t="n">
        <v>0</v>
      </c>
      <c r="L50" s="1" t="n">
        <v>0</v>
      </c>
    </row>
    <row r="51" customFormat="false" ht="15" hidden="false" customHeight="false" outlineLevel="0" collapsed="false">
      <c r="A51" s="1" t="n">
        <v>50</v>
      </c>
      <c r="B51" s="1" t="s">
        <v>981</v>
      </c>
      <c r="C51" s="1" t="s">
        <v>795</v>
      </c>
      <c r="D51" s="1" t="n">
        <v>0</v>
      </c>
      <c r="E51" s="1" t="n">
        <v>1</v>
      </c>
      <c r="F51" s="1" t="n">
        <v>0</v>
      </c>
      <c r="G51" s="1" t="n">
        <v>0</v>
      </c>
      <c r="H51" s="1" t="n">
        <v>0</v>
      </c>
      <c r="I51" s="1" t="n">
        <v>0</v>
      </c>
      <c r="J51" s="1" t="n">
        <v>0</v>
      </c>
      <c r="K51" s="1" t="n">
        <v>0</v>
      </c>
      <c r="L51" s="1" t="n">
        <v>0</v>
      </c>
    </row>
    <row r="52" customFormat="false" ht="15" hidden="false" customHeight="false" outlineLevel="0" collapsed="false">
      <c r="A52" s="1" t="n">
        <v>51</v>
      </c>
      <c r="B52" s="1" t="s">
        <v>983</v>
      </c>
      <c r="C52" s="1" t="s">
        <v>795</v>
      </c>
      <c r="D52" s="1" t="n">
        <v>0</v>
      </c>
      <c r="E52" s="1" t="n">
        <v>0</v>
      </c>
      <c r="F52" s="1" t="n">
        <v>0</v>
      </c>
      <c r="G52" s="1" t="n">
        <v>0</v>
      </c>
      <c r="H52" s="1" t="n">
        <v>0</v>
      </c>
      <c r="I52" s="1" t="n">
        <v>0</v>
      </c>
      <c r="J52" s="1" t="n">
        <v>0</v>
      </c>
      <c r="K52" s="1" t="n">
        <v>0</v>
      </c>
      <c r="L52" s="1" t="n">
        <v>1</v>
      </c>
    </row>
    <row r="53" customFormat="false" ht="15" hidden="false" customHeight="false" outlineLevel="0" collapsed="false">
      <c r="A53" s="1" t="n">
        <v>52</v>
      </c>
      <c r="B53" s="1" t="s">
        <v>986</v>
      </c>
      <c r="C53" s="1" t="s">
        <v>795</v>
      </c>
      <c r="D53" s="1" t="n">
        <v>0</v>
      </c>
      <c r="E53" s="1" t="n">
        <v>0</v>
      </c>
      <c r="F53" s="1" t="n">
        <v>0</v>
      </c>
      <c r="G53" s="1" t="n">
        <v>0</v>
      </c>
      <c r="H53" s="1" t="n">
        <v>0</v>
      </c>
      <c r="I53" s="1" t="n">
        <v>0</v>
      </c>
      <c r="J53" s="1" t="n">
        <v>1</v>
      </c>
      <c r="K53" s="1" t="n">
        <v>0</v>
      </c>
      <c r="L53" s="1" t="n">
        <v>0</v>
      </c>
    </row>
    <row r="54" customFormat="false" ht="15" hidden="false" customHeight="false" outlineLevel="0" collapsed="false">
      <c r="A54" s="1" t="n">
        <v>53</v>
      </c>
      <c r="B54" s="1" t="s">
        <v>990</v>
      </c>
      <c r="C54" s="1" t="s">
        <v>795</v>
      </c>
      <c r="D54" s="1" t="n">
        <v>0</v>
      </c>
      <c r="E54" s="1" t="n">
        <v>0</v>
      </c>
      <c r="F54" s="1" t="n">
        <v>0</v>
      </c>
      <c r="G54" s="1" t="n">
        <v>0</v>
      </c>
      <c r="H54" s="1" t="n">
        <v>0</v>
      </c>
      <c r="I54" s="1" t="n">
        <v>0</v>
      </c>
      <c r="J54" s="1" t="n">
        <v>1</v>
      </c>
      <c r="K54" s="1" t="n">
        <v>0</v>
      </c>
      <c r="L54" s="1" t="n">
        <v>0</v>
      </c>
    </row>
    <row r="55" customFormat="false" ht="15" hidden="false" customHeight="false" outlineLevel="0" collapsed="false">
      <c r="A55" s="1" t="n">
        <v>54</v>
      </c>
      <c r="B55" s="1" t="s">
        <v>993</v>
      </c>
      <c r="C55" s="1" t="s">
        <v>795</v>
      </c>
      <c r="D55" s="1" t="n">
        <v>0</v>
      </c>
      <c r="E55" s="1" t="n">
        <v>0</v>
      </c>
      <c r="F55" s="1" t="n">
        <v>0</v>
      </c>
      <c r="G55" s="1" t="n">
        <v>0</v>
      </c>
      <c r="H55" s="1" t="n">
        <v>0</v>
      </c>
      <c r="I55" s="1" t="n">
        <v>0</v>
      </c>
      <c r="J55" s="1" t="n">
        <v>1</v>
      </c>
      <c r="K55" s="1" t="n">
        <v>0</v>
      </c>
      <c r="L55" s="1" t="n">
        <v>0</v>
      </c>
    </row>
    <row r="56" customFormat="false" ht="15" hidden="false" customHeight="false" outlineLevel="0" collapsed="false">
      <c r="A56" s="1" t="n">
        <v>55</v>
      </c>
      <c r="B56" s="1" t="s">
        <v>996</v>
      </c>
      <c r="C56" s="1" t="s">
        <v>795</v>
      </c>
      <c r="D56" s="1" t="n">
        <v>0</v>
      </c>
      <c r="E56" s="1" t="n">
        <v>0</v>
      </c>
      <c r="F56" s="1" t="n">
        <v>0</v>
      </c>
      <c r="G56" s="1" t="n">
        <v>0</v>
      </c>
      <c r="H56" s="1" t="n">
        <v>0</v>
      </c>
      <c r="I56" s="1" t="n">
        <v>0</v>
      </c>
      <c r="J56" s="1" t="n">
        <v>1</v>
      </c>
      <c r="K56" s="1" t="n">
        <v>0</v>
      </c>
      <c r="L56" s="1" t="n">
        <v>0</v>
      </c>
    </row>
    <row r="57" customFormat="false" ht="15" hidden="false" customHeight="false" outlineLevel="0" collapsed="false">
      <c r="A57" s="1" t="n">
        <v>56</v>
      </c>
      <c r="B57" s="1" t="s">
        <v>175</v>
      </c>
      <c r="C57" s="1" t="s">
        <v>795</v>
      </c>
      <c r="D57" s="1" t="n">
        <v>1</v>
      </c>
      <c r="E57" s="1" t="n">
        <v>0</v>
      </c>
      <c r="F57" s="1" t="n">
        <v>0</v>
      </c>
      <c r="G57" s="1" t="n">
        <v>0</v>
      </c>
      <c r="H57" s="1" t="n">
        <v>0</v>
      </c>
      <c r="I57" s="1" t="n">
        <v>0</v>
      </c>
      <c r="J57" s="1" t="n">
        <v>0</v>
      </c>
      <c r="K57" s="1" t="n">
        <v>0</v>
      </c>
      <c r="L57" s="1" t="n">
        <v>0</v>
      </c>
    </row>
    <row r="58" customFormat="false" ht="15" hidden="false" customHeight="false" outlineLevel="0" collapsed="false">
      <c r="A58" s="1" t="n">
        <v>57</v>
      </c>
      <c r="B58" s="1" t="s">
        <v>177</v>
      </c>
      <c r="C58" s="1" t="s">
        <v>835</v>
      </c>
      <c r="D58" s="1" t="n">
        <v>0</v>
      </c>
      <c r="E58" s="1" t="n">
        <v>0</v>
      </c>
      <c r="F58" s="1" t="n">
        <v>0</v>
      </c>
      <c r="G58" s="1" t="n">
        <v>0</v>
      </c>
      <c r="H58" s="1" t="n">
        <v>0</v>
      </c>
      <c r="I58" s="1" t="n">
        <v>0</v>
      </c>
      <c r="J58" s="1" t="n">
        <v>0</v>
      </c>
      <c r="K58" s="1" t="n">
        <v>0</v>
      </c>
      <c r="L58" s="1" t="n">
        <v>1</v>
      </c>
    </row>
    <row r="59" customFormat="false" ht="15" hidden="false" customHeight="false" outlineLevel="0" collapsed="false">
      <c r="A59" s="1" t="n">
        <v>58</v>
      </c>
      <c r="B59" s="1" t="s">
        <v>179</v>
      </c>
      <c r="C59" s="1" t="s">
        <v>795</v>
      </c>
      <c r="D59" s="1" t="n">
        <v>1</v>
      </c>
      <c r="E59" s="1" t="n">
        <v>0</v>
      </c>
      <c r="F59" s="1" t="n">
        <v>0</v>
      </c>
      <c r="G59" s="1" t="n">
        <v>0</v>
      </c>
      <c r="H59" s="1" t="n">
        <v>0</v>
      </c>
      <c r="I59" s="1" t="n">
        <v>0</v>
      </c>
      <c r="J59" s="1" t="n">
        <v>0</v>
      </c>
      <c r="K59" s="1" t="n">
        <v>0</v>
      </c>
      <c r="L59" s="1" t="n">
        <v>0</v>
      </c>
    </row>
    <row r="60" customFormat="false" ht="15" hidden="false" customHeight="false" outlineLevel="0" collapsed="false">
      <c r="A60" s="1" t="n">
        <v>59</v>
      </c>
      <c r="B60" s="1" t="s">
        <v>181</v>
      </c>
      <c r="C60" s="1" t="s">
        <v>795</v>
      </c>
      <c r="D60" s="1" t="n">
        <v>0</v>
      </c>
      <c r="E60" s="1" t="n">
        <v>0</v>
      </c>
      <c r="F60" s="1" t="n">
        <v>0</v>
      </c>
      <c r="G60" s="1" t="n">
        <v>0</v>
      </c>
      <c r="H60" s="1" t="n">
        <v>0</v>
      </c>
      <c r="I60" s="1" t="n">
        <v>0</v>
      </c>
      <c r="J60" s="1" t="n">
        <v>1</v>
      </c>
      <c r="K60" s="1" t="n">
        <v>0</v>
      </c>
      <c r="L60" s="1" t="n">
        <v>0</v>
      </c>
    </row>
  </sheetData>
  <conditionalFormatting sqref="D2:L59">
    <cfRule type="expression" priority="2" aboveAverage="0" equalAverage="0" bottom="0" percent="0" rank="0" text="" dxfId="46">
      <formula>D2=1</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30"/>
    <col collapsed="false" customWidth="true" hidden="false" outlineLevel="0" max="2" min="2" style="1" width="14"/>
    <col collapsed="false" customWidth="true" hidden="false" outlineLevel="0" max="3" min="3" style="1" width="12"/>
    <col collapsed="false" customWidth="true" hidden="false" outlineLevel="0" max="4" min="4" style="1" width="16"/>
    <col collapsed="false" customWidth="true" hidden="false" outlineLevel="0" max="5" min="5" style="1" width="14"/>
    <col collapsed="false" customWidth="true" hidden="false" outlineLevel="0" max="6" min="6" style="1" width="16"/>
    <col collapsed="false" customWidth="true" hidden="false" outlineLevel="0" max="7" min="7" style="1" width="34"/>
    <col collapsed="false" customWidth="true" hidden="false" outlineLevel="0" max="8" min="8" style="1" width="18"/>
    <col collapsed="false" customWidth="true" hidden="false" outlineLevel="0" max="9" min="9" style="1" width="46"/>
  </cols>
  <sheetData>
    <row r="1" customFormat="false" ht="15" hidden="false" customHeight="false" outlineLevel="0" collapsed="false">
      <c r="A1" s="20" t="s">
        <v>1807</v>
      </c>
      <c r="B1" s="20" t="s">
        <v>1928</v>
      </c>
      <c r="C1" s="20" t="s">
        <v>1929</v>
      </c>
      <c r="D1" s="20" t="s">
        <v>1930</v>
      </c>
      <c r="E1" s="20" t="s">
        <v>1931</v>
      </c>
      <c r="F1" s="20" t="s">
        <v>1932</v>
      </c>
      <c r="G1" s="20" t="s">
        <v>1933</v>
      </c>
      <c r="H1" s="20" t="s">
        <v>1934</v>
      </c>
      <c r="I1" s="20" t="s">
        <v>198</v>
      </c>
    </row>
    <row r="2" customFormat="false" ht="15" hidden="false" customHeight="false" outlineLevel="0" collapsed="false">
      <c r="A2" s="11" t="s">
        <v>1935</v>
      </c>
      <c r="B2" s="11" t="n">
        <v>59</v>
      </c>
      <c r="C2" s="11" t="n">
        <v>59</v>
      </c>
      <c r="D2" s="11" t="s">
        <v>1936</v>
      </c>
      <c r="E2" s="11" t="s">
        <v>1937</v>
      </c>
      <c r="F2" s="11" t="s">
        <v>8</v>
      </c>
      <c r="G2" s="11" t="s">
        <v>1831</v>
      </c>
      <c r="H2" s="11" t="s">
        <v>1937</v>
      </c>
      <c r="I2" s="11" t="s">
        <v>1938</v>
      </c>
    </row>
    <row r="3" customFormat="false" ht="15" hidden="false" customHeight="false" outlineLevel="0" collapsed="false">
      <c r="A3" s="11" t="s">
        <v>1939</v>
      </c>
      <c r="B3" s="11" t="n">
        <v>59</v>
      </c>
      <c r="C3" s="11" t="n">
        <v>59</v>
      </c>
      <c r="D3" s="11" t="s">
        <v>1936</v>
      </c>
      <c r="E3" s="11" t="s">
        <v>1937</v>
      </c>
      <c r="F3" s="11" t="s">
        <v>8</v>
      </c>
      <c r="G3" s="11" t="s">
        <v>1813</v>
      </c>
      <c r="H3" s="11" t="s">
        <v>1937</v>
      </c>
      <c r="I3" s="11" t="s">
        <v>1938</v>
      </c>
    </row>
    <row r="4" customFormat="false" ht="15" hidden="false" customHeight="false" outlineLevel="0" collapsed="false">
      <c r="A4" s="11" t="s">
        <v>1940</v>
      </c>
      <c r="B4" s="11" t="n">
        <v>59</v>
      </c>
      <c r="C4" s="11" t="n">
        <v>59</v>
      </c>
      <c r="D4" s="11" t="s">
        <v>1936</v>
      </c>
      <c r="E4" s="11" t="s">
        <v>1937</v>
      </c>
      <c r="F4" s="11" t="s">
        <v>8</v>
      </c>
      <c r="G4" s="11" t="s">
        <v>1831</v>
      </c>
      <c r="H4" s="11" t="s">
        <v>1937</v>
      </c>
      <c r="I4" s="11" t="s">
        <v>1938</v>
      </c>
    </row>
    <row r="5" customFormat="false" ht="15" hidden="false" customHeight="false" outlineLevel="0" collapsed="false">
      <c r="A5" s="11" t="s">
        <v>1941</v>
      </c>
      <c r="B5" s="11" t="n">
        <v>59</v>
      </c>
      <c r="C5" s="11" t="n">
        <v>59</v>
      </c>
      <c r="D5" s="11" t="s">
        <v>1936</v>
      </c>
      <c r="E5" s="11" t="s">
        <v>1937</v>
      </c>
      <c r="F5" s="11" t="s">
        <v>8</v>
      </c>
      <c r="G5" s="11" t="s">
        <v>1831</v>
      </c>
      <c r="H5" s="11" t="s">
        <v>1937</v>
      </c>
      <c r="I5" s="11" t="s">
        <v>1938</v>
      </c>
    </row>
    <row r="6" customFormat="false" ht="15" hidden="false" customHeight="false" outlineLevel="0" collapsed="false">
      <c r="A6" s="11" t="s">
        <v>1871</v>
      </c>
      <c r="B6" s="11" t="n">
        <v>59</v>
      </c>
      <c r="C6" s="11" t="n">
        <v>59</v>
      </c>
      <c r="D6" s="11" t="s">
        <v>1936</v>
      </c>
      <c r="E6" s="11" t="s">
        <v>1937</v>
      </c>
      <c r="F6" s="11" t="s">
        <v>8</v>
      </c>
      <c r="G6" s="11" t="s">
        <v>1823</v>
      </c>
      <c r="H6" s="11" t="s">
        <v>1937</v>
      </c>
      <c r="I6" s="11" t="s">
        <v>1938</v>
      </c>
    </row>
    <row r="7" customFormat="false" ht="15" hidden="false" customHeight="false" outlineLevel="0" collapsed="false">
      <c r="A7" s="11" t="s">
        <v>1812</v>
      </c>
      <c r="B7" s="11" t="n">
        <v>59</v>
      </c>
      <c r="C7" s="11" t="n">
        <v>59</v>
      </c>
      <c r="D7" s="11" t="s">
        <v>1936</v>
      </c>
      <c r="E7" s="11" t="s">
        <v>1937</v>
      </c>
      <c r="F7" s="11" t="s">
        <v>8</v>
      </c>
      <c r="G7" s="11" t="s">
        <v>1813</v>
      </c>
      <c r="H7" s="11" t="s">
        <v>1937</v>
      </c>
      <c r="I7" s="11" t="s">
        <v>1938</v>
      </c>
    </row>
    <row r="8" customFormat="false" ht="15" hidden="false" customHeight="false" outlineLevel="0" collapsed="false">
      <c r="A8" s="11" t="s">
        <v>1942</v>
      </c>
      <c r="B8" s="11" t="n">
        <v>59</v>
      </c>
      <c r="C8" s="11" t="n">
        <v>59</v>
      </c>
      <c r="D8" s="11" t="s">
        <v>1936</v>
      </c>
      <c r="E8" s="11" t="s">
        <v>1937</v>
      </c>
      <c r="F8" s="11" t="s">
        <v>8</v>
      </c>
      <c r="G8" s="11" t="s">
        <v>1831</v>
      </c>
      <c r="H8" s="11" t="s">
        <v>1937</v>
      </c>
      <c r="I8" s="11" t="s">
        <v>1938</v>
      </c>
    </row>
    <row r="9" customFormat="false" ht="15" hidden="false" customHeight="false" outlineLevel="0" collapsed="false">
      <c r="A9" s="11" t="s">
        <v>1874</v>
      </c>
      <c r="B9" s="11" t="n">
        <v>59</v>
      </c>
      <c r="C9" s="11" t="n">
        <v>59</v>
      </c>
      <c r="D9" s="11" t="s">
        <v>1936</v>
      </c>
      <c r="E9" s="11" t="s">
        <v>1937</v>
      </c>
      <c r="F9" s="11" t="s">
        <v>8</v>
      </c>
      <c r="G9" s="11" t="s">
        <v>1827</v>
      </c>
      <c r="H9" s="11" t="s">
        <v>1937</v>
      </c>
      <c r="I9" s="11" t="s">
        <v>1938</v>
      </c>
    </row>
    <row r="10" customFormat="false" ht="15" hidden="false" customHeight="false" outlineLevel="0" collapsed="false">
      <c r="A10" s="11" t="s">
        <v>1943</v>
      </c>
      <c r="B10" s="11" t="n">
        <v>59</v>
      </c>
      <c r="C10" s="11" t="n">
        <v>59</v>
      </c>
      <c r="D10" s="11" t="s">
        <v>1936</v>
      </c>
      <c r="E10" s="11" t="s">
        <v>1937</v>
      </c>
      <c r="F10" s="11" t="s">
        <v>8</v>
      </c>
      <c r="G10" s="11" t="s">
        <v>1831</v>
      </c>
      <c r="H10" s="11" t="s">
        <v>1937</v>
      </c>
      <c r="I10" s="11" t="s">
        <v>1938</v>
      </c>
    </row>
    <row r="11" customFormat="false" ht="15" hidden="false" customHeight="false" outlineLevel="0" collapsed="false">
      <c r="A11" s="11" t="s">
        <v>1944</v>
      </c>
      <c r="B11" s="11" t="n">
        <v>59</v>
      </c>
      <c r="C11" s="11" t="n">
        <v>59</v>
      </c>
      <c r="D11" s="11" t="s">
        <v>1936</v>
      </c>
      <c r="E11" s="11" t="s">
        <v>1937</v>
      </c>
      <c r="F11" s="11" t="s">
        <v>8</v>
      </c>
      <c r="G11" s="11" t="s">
        <v>1945</v>
      </c>
      <c r="H11" s="11" t="s">
        <v>1937</v>
      </c>
      <c r="I11" s="11" t="s">
        <v>1938</v>
      </c>
    </row>
    <row r="12" customFormat="false" ht="15" hidden="false" customHeight="false" outlineLevel="0" collapsed="false">
      <c r="A12" s="11" t="s">
        <v>1946</v>
      </c>
      <c r="B12" s="11" t="n">
        <v>59</v>
      </c>
      <c r="C12" s="11" t="n">
        <v>59</v>
      </c>
      <c r="D12" s="11" t="s">
        <v>1936</v>
      </c>
      <c r="E12" s="11" t="s">
        <v>1937</v>
      </c>
      <c r="F12" s="11" t="s">
        <v>8</v>
      </c>
      <c r="G12" s="11" t="s">
        <v>1831</v>
      </c>
      <c r="H12" s="11" t="s">
        <v>1937</v>
      </c>
      <c r="I12" s="11" t="s">
        <v>1938</v>
      </c>
    </row>
    <row r="13" customFormat="false" ht="15" hidden="false" customHeight="false" outlineLevel="0" collapsed="false">
      <c r="A13" s="11" t="s">
        <v>1831</v>
      </c>
      <c r="B13" s="11" t="n">
        <v>59</v>
      </c>
      <c r="C13" s="11" t="n">
        <v>59</v>
      </c>
      <c r="D13" s="11" t="s">
        <v>1936</v>
      </c>
      <c r="E13" s="11" t="s">
        <v>1937</v>
      </c>
      <c r="F13" s="11" t="s">
        <v>8</v>
      </c>
      <c r="G13" s="11" t="s">
        <v>1947</v>
      </c>
      <c r="H13" s="11" t="s">
        <v>1937</v>
      </c>
      <c r="I13" s="11" t="s">
        <v>1938</v>
      </c>
    </row>
    <row r="14" customFormat="false" ht="15" hidden="false" customHeight="false" outlineLevel="0" collapsed="false">
      <c r="A14" s="11" t="s">
        <v>1948</v>
      </c>
      <c r="B14" s="11" t="n">
        <v>59</v>
      </c>
      <c r="C14" s="11" t="n">
        <v>59</v>
      </c>
      <c r="D14" s="11" t="s">
        <v>1936</v>
      </c>
      <c r="E14" s="11" t="s">
        <v>1937</v>
      </c>
      <c r="F14" s="11" t="s">
        <v>8</v>
      </c>
      <c r="G14" s="11" t="s">
        <v>1823</v>
      </c>
      <c r="H14" s="11" t="s">
        <v>1937</v>
      </c>
      <c r="I14" s="11" t="s">
        <v>1938</v>
      </c>
    </row>
    <row r="15" customFormat="false" ht="23.85" hidden="false" customHeight="false" outlineLevel="0" collapsed="false">
      <c r="A15" s="11" t="s">
        <v>1868</v>
      </c>
      <c r="B15" s="11" t="n">
        <v>59</v>
      </c>
      <c r="C15" s="11" t="n">
        <v>59</v>
      </c>
      <c r="D15" s="11" t="s">
        <v>1936</v>
      </c>
      <c r="E15" s="11" t="s">
        <v>1937</v>
      </c>
      <c r="F15" s="11" t="s">
        <v>8</v>
      </c>
      <c r="G15" s="11" t="s">
        <v>1949</v>
      </c>
      <c r="H15" s="11" t="s">
        <v>1937</v>
      </c>
      <c r="I15" s="11" t="s">
        <v>1938</v>
      </c>
    </row>
    <row r="16" customFormat="false" ht="15" hidden="false" customHeight="false" outlineLevel="0" collapsed="false">
      <c r="A16" s="11" t="s">
        <v>1827</v>
      </c>
      <c r="B16" s="11" t="n">
        <v>59</v>
      </c>
      <c r="C16" s="11" t="n">
        <v>59</v>
      </c>
      <c r="D16" s="11" t="s">
        <v>1936</v>
      </c>
      <c r="E16" s="11" t="s">
        <v>1937</v>
      </c>
      <c r="F16" s="11" t="s">
        <v>8</v>
      </c>
      <c r="G16" s="11" t="s">
        <v>1947</v>
      </c>
      <c r="H16" s="11" t="s">
        <v>1937</v>
      </c>
      <c r="I16" s="11" t="s">
        <v>1938</v>
      </c>
    </row>
    <row r="17" customFormat="false" ht="15" hidden="false" customHeight="false" outlineLevel="0" collapsed="false">
      <c r="A17" s="11" t="s">
        <v>1950</v>
      </c>
      <c r="B17" s="11" t="n">
        <v>59</v>
      </c>
      <c r="C17" s="11" t="n">
        <v>59</v>
      </c>
      <c r="D17" s="11" t="s">
        <v>1936</v>
      </c>
      <c r="E17" s="11" t="s">
        <v>1937</v>
      </c>
      <c r="F17" s="11" t="s">
        <v>8</v>
      </c>
      <c r="G17" s="11" t="s">
        <v>1831</v>
      </c>
      <c r="H17" s="11" t="s">
        <v>1937</v>
      </c>
      <c r="I17" s="11" t="s">
        <v>1938</v>
      </c>
    </row>
    <row r="18" customFormat="false" ht="15" hidden="false" customHeight="false" outlineLevel="0" collapsed="false">
      <c r="A18" s="11" t="s">
        <v>1951</v>
      </c>
      <c r="B18" s="11" t="n">
        <v>59</v>
      </c>
      <c r="C18" s="11" t="n">
        <v>59</v>
      </c>
      <c r="D18" s="11" t="s">
        <v>1936</v>
      </c>
      <c r="E18" s="11" t="s">
        <v>1937</v>
      </c>
      <c r="F18" s="11" t="s">
        <v>8</v>
      </c>
      <c r="G18" s="11" t="s">
        <v>1831</v>
      </c>
      <c r="H18" s="11" t="s">
        <v>1937</v>
      </c>
      <c r="I18" s="11" t="s">
        <v>1938</v>
      </c>
    </row>
    <row r="19" customFormat="false" ht="15" hidden="false" customHeight="false" outlineLevel="0" collapsed="false">
      <c r="A19" s="11" t="s">
        <v>1813</v>
      </c>
      <c r="B19" s="11" t="n">
        <v>59</v>
      </c>
      <c r="C19" s="11" t="n">
        <v>59</v>
      </c>
      <c r="D19" s="11" t="s">
        <v>1936</v>
      </c>
      <c r="E19" s="11" t="s">
        <v>1937</v>
      </c>
      <c r="F19" s="11" t="s">
        <v>8</v>
      </c>
      <c r="G19" s="11" t="s">
        <v>1947</v>
      </c>
      <c r="H19" s="11" t="s">
        <v>1937</v>
      </c>
      <c r="I19" s="11" t="s">
        <v>1938</v>
      </c>
    </row>
    <row r="20" customFormat="false" ht="15" hidden="false" customHeight="false" outlineLevel="0" collapsed="false">
      <c r="A20" s="11" t="s">
        <v>1823</v>
      </c>
      <c r="B20" s="11" t="n">
        <v>59</v>
      </c>
      <c r="C20" s="11" t="n">
        <v>59</v>
      </c>
      <c r="D20" s="11" t="s">
        <v>1936</v>
      </c>
      <c r="E20" s="11" t="s">
        <v>1937</v>
      </c>
      <c r="F20" s="11" t="s">
        <v>8</v>
      </c>
      <c r="G20" s="11" t="s">
        <v>1947</v>
      </c>
      <c r="H20" s="11" t="s">
        <v>1937</v>
      </c>
      <c r="I20" s="11" t="s">
        <v>1938</v>
      </c>
    </row>
    <row r="21" customFormat="false" ht="15" hidden="false" customHeight="false" outlineLevel="0" collapsed="false">
      <c r="A21" s="11" t="s">
        <v>1952</v>
      </c>
      <c r="B21" s="11" t="n">
        <v>59</v>
      </c>
      <c r="C21" s="11" t="n">
        <v>59</v>
      </c>
      <c r="D21" s="11" t="s">
        <v>1936</v>
      </c>
      <c r="E21" s="11" t="s">
        <v>1937</v>
      </c>
      <c r="F21" s="11" t="s">
        <v>8</v>
      </c>
      <c r="G21" s="11" t="s">
        <v>1831</v>
      </c>
      <c r="H21" s="11" t="s">
        <v>1937</v>
      </c>
      <c r="I21" s="11" t="s">
        <v>1938</v>
      </c>
    </row>
    <row r="22" customFormat="false" ht="15" hidden="false" customHeight="false" outlineLevel="0" collapsed="false">
      <c r="A22" s="11" t="s">
        <v>1953</v>
      </c>
      <c r="B22" s="11" t="n">
        <v>59</v>
      </c>
      <c r="C22" s="11" t="n">
        <v>59</v>
      </c>
      <c r="D22" s="11" t="s">
        <v>1936</v>
      </c>
      <c r="E22" s="11" t="s">
        <v>1937</v>
      </c>
      <c r="F22" s="11" t="s">
        <v>8</v>
      </c>
      <c r="G22" s="11" t="s">
        <v>1831</v>
      </c>
      <c r="H22" s="11" t="s">
        <v>1937</v>
      </c>
      <c r="I22" s="11" t="s">
        <v>1938</v>
      </c>
    </row>
    <row r="23" customFormat="false" ht="15" hidden="false" customHeight="false" outlineLevel="0" collapsed="false">
      <c r="A23" s="11"/>
      <c r="B23" s="11"/>
      <c r="C23" s="11"/>
      <c r="D23" s="11"/>
      <c r="E23" s="11"/>
      <c r="F23" s="11"/>
      <c r="G23" s="11"/>
      <c r="H23" s="11"/>
      <c r="I23" s="11"/>
    </row>
    <row r="24" customFormat="false" ht="23.85" hidden="false" customHeight="false" outlineLevel="0" collapsed="false">
      <c r="A24" s="20" t="s">
        <v>1954</v>
      </c>
      <c r="B24" s="20" t="s">
        <v>1955</v>
      </c>
      <c r="C24" s="20" t="s">
        <v>1956</v>
      </c>
      <c r="D24" s="20" t="s">
        <v>1957</v>
      </c>
      <c r="E24" s="20" t="s">
        <v>1958</v>
      </c>
      <c r="F24" s="20" t="s">
        <v>1959</v>
      </c>
      <c r="G24" s="20" t="s">
        <v>1960</v>
      </c>
      <c r="H24" s="20" t="s">
        <v>1961</v>
      </c>
      <c r="I24" s="20" t="s">
        <v>1811</v>
      </c>
    </row>
    <row r="25" customFormat="false" ht="15" hidden="false" customHeight="false" outlineLevel="0" collapsed="false">
      <c r="A25" s="11" t="s">
        <v>1962</v>
      </c>
      <c r="B25" s="11" t="s">
        <v>795</v>
      </c>
      <c r="C25" s="11" t="s">
        <v>795</v>
      </c>
      <c r="D25" s="11" t="s">
        <v>795</v>
      </c>
      <c r="E25" s="11" t="s">
        <v>795</v>
      </c>
      <c r="F25" s="11" t="s">
        <v>1816</v>
      </c>
      <c r="G25" s="11" t="s">
        <v>795</v>
      </c>
      <c r="H25" s="11" t="s">
        <v>1816</v>
      </c>
      <c r="I25" s="11" t="s">
        <v>1937</v>
      </c>
    </row>
    <row r="26" customFormat="false" ht="46.25" hidden="false" customHeight="false" outlineLevel="0" collapsed="false">
      <c r="A26" s="11" t="s">
        <v>1963</v>
      </c>
      <c r="B26" s="11" t="s">
        <v>1964</v>
      </c>
      <c r="C26" s="11" t="s">
        <v>70</v>
      </c>
      <c r="D26" s="11" t="s">
        <v>1965</v>
      </c>
      <c r="E26" s="11" t="s">
        <v>1816</v>
      </c>
      <c r="F26" s="11" t="s">
        <v>1816</v>
      </c>
      <c r="G26" s="11" t="s">
        <v>1965</v>
      </c>
      <c r="H26" s="11" t="s">
        <v>1816</v>
      </c>
      <c r="I26" s="11" t="s">
        <v>1937</v>
      </c>
    </row>
    <row r="27" customFormat="false" ht="23.85" hidden="false" customHeight="false" outlineLevel="0" collapsed="false">
      <c r="A27" s="11" t="s">
        <v>1966</v>
      </c>
      <c r="B27" s="11" t="s">
        <v>1967</v>
      </c>
      <c r="C27" s="11" t="s">
        <v>1968</v>
      </c>
      <c r="D27" s="11" t="s">
        <v>1969</v>
      </c>
      <c r="E27" s="11" t="s">
        <v>1816</v>
      </c>
      <c r="F27" s="11" t="s">
        <v>1816</v>
      </c>
      <c r="G27" s="11" t="s">
        <v>1970</v>
      </c>
      <c r="H27" s="11" t="s">
        <v>1816</v>
      </c>
      <c r="I27" s="11" t="s">
        <v>1937</v>
      </c>
    </row>
    <row r="28" customFormat="false" ht="46.25" hidden="false" customHeight="false" outlineLevel="0" collapsed="false">
      <c r="A28" s="11" t="s">
        <v>1971</v>
      </c>
      <c r="B28" s="11" t="s">
        <v>1972</v>
      </c>
      <c r="C28" s="11" t="s">
        <v>1973</v>
      </c>
      <c r="D28" s="11" t="s">
        <v>1816</v>
      </c>
      <c r="E28" s="11" t="s">
        <v>1974</v>
      </c>
      <c r="F28" s="11" t="s">
        <v>1816</v>
      </c>
      <c r="G28" s="11" t="s">
        <v>1816</v>
      </c>
      <c r="H28" s="11" t="s">
        <v>1975</v>
      </c>
      <c r="I28" s="11" t="s">
        <v>1937</v>
      </c>
    </row>
    <row r="29" customFormat="false" ht="15" hidden="false" customHeight="false" outlineLevel="0" collapsed="false">
      <c r="A29" s="11" t="s">
        <v>1976</v>
      </c>
      <c r="B29" s="11" t="s">
        <v>1074</v>
      </c>
      <c r="C29" s="11" t="s">
        <v>1074</v>
      </c>
      <c r="D29" s="11" t="s">
        <v>1816</v>
      </c>
      <c r="E29" s="11" t="s">
        <v>1816</v>
      </c>
      <c r="F29" s="11" t="s">
        <v>1977</v>
      </c>
      <c r="G29" s="11" t="s">
        <v>1816</v>
      </c>
      <c r="H29" s="11" t="s">
        <v>1816</v>
      </c>
      <c r="I29" s="11" t="s">
        <v>1937</v>
      </c>
    </row>
    <row r="30" customFormat="false" ht="15" hidden="false" customHeight="false" outlineLevel="0" collapsed="false">
      <c r="A30" s="11"/>
      <c r="B30" s="11"/>
      <c r="C30" s="11"/>
      <c r="D30" s="11"/>
      <c r="E30" s="11"/>
      <c r="F30" s="11"/>
      <c r="G30" s="11"/>
      <c r="H30" s="11"/>
      <c r="I30" s="11"/>
    </row>
    <row r="31" customFormat="false" ht="15" hidden="false" customHeight="false" outlineLevel="0" collapsed="false">
      <c r="A31" s="11"/>
      <c r="B31" s="11"/>
      <c r="C31" s="11"/>
      <c r="D31" s="11"/>
      <c r="E31" s="11"/>
      <c r="F31" s="11"/>
      <c r="G31" s="11"/>
      <c r="H31" s="11"/>
      <c r="I31" s="11"/>
    </row>
    <row r="32" customFormat="false" ht="15" hidden="false" customHeight="false" outlineLevel="0" collapsed="false">
      <c r="A32" s="11"/>
      <c r="B32" s="11"/>
      <c r="C32" s="11"/>
      <c r="D32" s="11"/>
      <c r="E32" s="11"/>
      <c r="F32" s="11"/>
      <c r="G32" s="11"/>
      <c r="H32" s="11"/>
      <c r="I32" s="11"/>
    </row>
    <row r="33" customFormat="false" ht="15" hidden="false" customHeight="false" outlineLevel="0" collapsed="false">
      <c r="A33" s="11"/>
      <c r="B33" s="11"/>
      <c r="C33" s="11"/>
      <c r="D33" s="11"/>
      <c r="E33" s="11"/>
      <c r="F33" s="11"/>
      <c r="G33" s="11"/>
      <c r="H33" s="11"/>
      <c r="I33" s="11"/>
    </row>
    <row r="34" customFormat="false" ht="15" hidden="false" customHeight="false" outlineLevel="0" collapsed="false">
      <c r="A34" s="11"/>
      <c r="B34" s="11"/>
      <c r="C34" s="11"/>
      <c r="D34" s="11"/>
      <c r="E34" s="11"/>
      <c r="F34" s="11"/>
      <c r="G34" s="11"/>
      <c r="H34" s="11"/>
      <c r="I34" s="11"/>
    </row>
    <row r="35" customFormat="false" ht="15" hidden="false" customHeight="false" outlineLevel="0" collapsed="false">
      <c r="A35" s="11"/>
      <c r="B35" s="11"/>
      <c r="C35" s="11"/>
      <c r="D35" s="11"/>
      <c r="E35" s="11"/>
      <c r="F35" s="11"/>
      <c r="G35" s="11"/>
      <c r="H35" s="11"/>
      <c r="I35" s="11"/>
    </row>
    <row r="36" customFormat="false" ht="15" hidden="false" customHeight="false" outlineLevel="0" collapsed="false">
      <c r="A36" s="11"/>
      <c r="B36" s="11"/>
      <c r="C36" s="11"/>
      <c r="D36" s="11"/>
      <c r="E36" s="11"/>
      <c r="F36" s="11"/>
      <c r="G36" s="11"/>
      <c r="H36" s="11"/>
      <c r="I36" s="11"/>
    </row>
    <row r="37" customFormat="false" ht="15" hidden="false" customHeight="false" outlineLevel="0" collapsed="false">
      <c r="A37" s="11"/>
      <c r="B37" s="11"/>
      <c r="C37" s="11"/>
      <c r="D37" s="11"/>
      <c r="E37" s="11"/>
      <c r="F37" s="11"/>
      <c r="G37" s="11"/>
      <c r="H37" s="11"/>
      <c r="I37" s="11"/>
    </row>
    <row r="38" customFormat="false" ht="15" hidden="false" customHeight="false" outlineLevel="0" collapsed="false">
      <c r="A38" s="11"/>
      <c r="B38" s="11"/>
      <c r="C38" s="11"/>
      <c r="D38" s="11"/>
      <c r="E38" s="11"/>
      <c r="F38" s="11"/>
      <c r="G38" s="11"/>
      <c r="H38" s="11"/>
      <c r="I38" s="11"/>
    </row>
    <row r="39" customFormat="false" ht="15" hidden="false" customHeight="false" outlineLevel="0" collapsed="false">
      <c r="A39" s="11"/>
      <c r="B39" s="11"/>
      <c r="C39" s="11"/>
      <c r="D39" s="11"/>
      <c r="E39" s="11"/>
      <c r="F39" s="11"/>
      <c r="G39" s="11"/>
      <c r="H39" s="11"/>
      <c r="I39" s="11"/>
    </row>
    <row r="40" customFormat="false" ht="15" hidden="false" customHeight="false" outlineLevel="0" collapsed="false">
      <c r="A40" s="11"/>
      <c r="B40" s="11"/>
      <c r="C40" s="11"/>
      <c r="D40" s="11"/>
      <c r="E40" s="11"/>
      <c r="F40" s="11"/>
      <c r="G40" s="11"/>
      <c r="H40" s="11"/>
      <c r="I40" s="11"/>
    </row>
    <row r="41" customFormat="false" ht="15" hidden="false" customHeight="false" outlineLevel="0" collapsed="false">
      <c r="A41" s="11"/>
      <c r="B41" s="11"/>
      <c r="C41" s="11"/>
      <c r="D41" s="11"/>
      <c r="E41" s="11"/>
      <c r="F41" s="11"/>
      <c r="G41" s="11"/>
      <c r="H41" s="11"/>
      <c r="I41" s="11"/>
    </row>
    <row r="42" customFormat="false" ht="15" hidden="false" customHeight="false" outlineLevel="0" collapsed="false">
      <c r="A42" s="11"/>
      <c r="B42" s="11"/>
      <c r="C42" s="11"/>
      <c r="D42" s="11"/>
      <c r="E42" s="11"/>
      <c r="F42" s="11"/>
      <c r="G42" s="11"/>
      <c r="H42" s="11"/>
      <c r="I42" s="11"/>
    </row>
    <row r="43" customFormat="false" ht="15" hidden="false" customHeight="false" outlineLevel="0" collapsed="false">
      <c r="A43" s="11"/>
      <c r="B43" s="11"/>
      <c r="C43" s="11"/>
      <c r="D43" s="11"/>
      <c r="E43" s="11"/>
      <c r="F43" s="11"/>
      <c r="G43" s="11"/>
      <c r="H43" s="11"/>
      <c r="I43" s="11"/>
    </row>
    <row r="44" customFormat="false" ht="15" hidden="false" customHeight="false" outlineLevel="0" collapsed="false">
      <c r="A44" s="11"/>
      <c r="B44" s="11"/>
      <c r="C44" s="11"/>
      <c r="D44" s="11"/>
      <c r="E44" s="11"/>
      <c r="F44" s="11"/>
      <c r="G44" s="11"/>
      <c r="H44" s="11"/>
      <c r="I44" s="11"/>
    </row>
    <row r="45" customFormat="false" ht="15" hidden="false" customHeight="false" outlineLevel="0" collapsed="false">
      <c r="A45" s="11"/>
      <c r="B45" s="11"/>
      <c r="C45" s="11"/>
      <c r="D45" s="11"/>
      <c r="E45" s="11"/>
      <c r="F45" s="11"/>
      <c r="G45" s="11"/>
      <c r="H45" s="11"/>
      <c r="I45" s="11"/>
    </row>
    <row r="46" customFormat="false" ht="15" hidden="false" customHeight="false" outlineLevel="0" collapsed="false">
      <c r="A46" s="11"/>
      <c r="B46" s="11"/>
      <c r="C46" s="11"/>
      <c r="D46" s="11"/>
      <c r="E46" s="11"/>
      <c r="F46" s="11"/>
      <c r="G46" s="11"/>
      <c r="H46" s="11"/>
      <c r="I46" s="11"/>
    </row>
    <row r="47" customFormat="false" ht="15" hidden="false" customHeight="false" outlineLevel="0" collapsed="false">
      <c r="A47" s="11"/>
      <c r="B47" s="11"/>
      <c r="C47" s="11"/>
      <c r="D47" s="11"/>
      <c r="E47" s="11"/>
      <c r="F47" s="11"/>
      <c r="G47" s="11"/>
      <c r="H47" s="11"/>
      <c r="I47" s="11"/>
    </row>
    <row r="48" customFormat="false" ht="15" hidden="false" customHeight="false" outlineLevel="0" collapsed="false">
      <c r="A48" s="11"/>
      <c r="B48" s="11"/>
      <c r="C48" s="11"/>
      <c r="D48" s="11"/>
      <c r="E48" s="11"/>
      <c r="F48" s="11"/>
      <c r="G48" s="11"/>
      <c r="H48" s="11"/>
      <c r="I48" s="11"/>
    </row>
    <row r="49" customFormat="false" ht="15" hidden="false" customHeight="false" outlineLevel="0" collapsed="false">
      <c r="A49" s="11"/>
      <c r="B49" s="11"/>
      <c r="C49" s="11"/>
      <c r="D49" s="11"/>
      <c r="E49" s="11"/>
      <c r="F49" s="11"/>
      <c r="G49" s="11"/>
      <c r="H49" s="11"/>
      <c r="I49" s="11"/>
    </row>
    <row r="50" customFormat="false" ht="15" hidden="false" customHeight="false" outlineLevel="0" collapsed="false">
      <c r="A50" s="11"/>
      <c r="B50" s="11"/>
      <c r="C50" s="11"/>
      <c r="D50" s="11"/>
      <c r="E50" s="11"/>
      <c r="F50" s="11"/>
      <c r="G50" s="11"/>
      <c r="H50" s="11"/>
      <c r="I50" s="11"/>
    </row>
    <row r="51" customFormat="false" ht="15" hidden="false" customHeight="false" outlineLevel="0" collapsed="false">
      <c r="A51" s="11"/>
      <c r="B51" s="11"/>
      <c r="C51" s="11"/>
      <c r="D51" s="11"/>
      <c r="E51" s="11"/>
      <c r="F51" s="11"/>
      <c r="G51" s="11"/>
      <c r="H51" s="11"/>
      <c r="I51" s="11"/>
    </row>
    <row r="52" customFormat="false" ht="15" hidden="false" customHeight="false" outlineLevel="0" collapsed="false">
      <c r="A52" s="11"/>
      <c r="B52" s="11"/>
      <c r="C52" s="11"/>
      <c r="D52" s="11"/>
      <c r="E52" s="11"/>
      <c r="F52" s="11"/>
      <c r="G52" s="11"/>
      <c r="H52" s="11"/>
      <c r="I52" s="11"/>
    </row>
    <row r="53" customFormat="false" ht="15" hidden="false" customHeight="false" outlineLevel="0" collapsed="false">
      <c r="A53" s="11"/>
      <c r="B53" s="11"/>
      <c r="C53" s="11"/>
      <c r="D53" s="11"/>
      <c r="E53" s="11"/>
      <c r="F53" s="11"/>
      <c r="G53" s="11"/>
      <c r="H53" s="11"/>
      <c r="I53" s="11"/>
    </row>
    <row r="54" customFormat="false" ht="15" hidden="false" customHeight="false" outlineLevel="0" collapsed="false">
      <c r="A54" s="11"/>
      <c r="B54" s="11"/>
      <c r="C54" s="11"/>
      <c r="D54" s="11"/>
      <c r="E54" s="11"/>
      <c r="F54" s="11"/>
      <c r="G54" s="11"/>
      <c r="H54" s="11"/>
      <c r="I54" s="11"/>
    </row>
    <row r="55" customFormat="false" ht="15" hidden="false" customHeight="false" outlineLevel="0" collapsed="false">
      <c r="A55" s="11"/>
      <c r="B55" s="11"/>
      <c r="C55" s="11"/>
      <c r="D55" s="11"/>
      <c r="E55" s="11"/>
      <c r="F55" s="11"/>
      <c r="G55" s="11"/>
      <c r="H55" s="11"/>
      <c r="I55" s="11"/>
    </row>
    <row r="56" customFormat="false" ht="15" hidden="false" customHeight="false" outlineLevel="0" collapsed="false">
      <c r="A56" s="11"/>
      <c r="B56" s="11"/>
      <c r="C56" s="11"/>
      <c r="D56" s="11"/>
      <c r="E56" s="11"/>
      <c r="F56" s="11"/>
      <c r="G56" s="11"/>
      <c r="H56" s="11"/>
      <c r="I56" s="11"/>
    </row>
    <row r="57" customFormat="false" ht="15" hidden="false" customHeight="false" outlineLevel="0" collapsed="false">
      <c r="A57" s="11"/>
      <c r="B57" s="11"/>
      <c r="C57" s="11"/>
      <c r="D57" s="11"/>
      <c r="E57" s="11"/>
      <c r="F57" s="11"/>
      <c r="G57" s="11"/>
      <c r="H57" s="11"/>
      <c r="I57" s="11"/>
    </row>
    <row r="58" customFormat="false" ht="15" hidden="false" customHeight="false" outlineLevel="0" collapsed="false">
      <c r="A58" s="11"/>
      <c r="B58" s="11"/>
      <c r="C58" s="11"/>
      <c r="D58" s="11"/>
      <c r="E58" s="11"/>
      <c r="F58" s="11"/>
      <c r="G58" s="11"/>
      <c r="H58" s="11"/>
      <c r="I58" s="11"/>
    </row>
    <row r="59" customFormat="false" ht="15" hidden="false" customHeight="false" outlineLevel="0" collapsed="false">
      <c r="A59" s="11"/>
      <c r="B59" s="11"/>
      <c r="C59" s="11"/>
      <c r="D59" s="11"/>
      <c r="E59" s="11"/>
      <c r="F59" s="11"/>
      <c r="G59" s="11"/>
      <c r="H59" s="11"/>
      <c r="I59" s="11"/>
    </row>
    <row r="60" customFormat="false" ht="15" hidden="false" customHeight="false" outlineLevel="0" collapsed="false">
      <c r="A60" s="11"/>
      <c r="B60" s="11"/>
      <c r="C60" s="11"/>
      <c r="D60" s="11"/>
      <c r="E60" s="11"/>
      <c r="F60" s="11"/>
      <c r="G60" s="11"/>
      <c r="H60" s="11"/>
      <c r="I60" s="11"/>
    </row>
    <row r="61" customFormat="false" ht="15" hidden="false" customHeight="false" outlineLevel="0" collapsed="false">
      <c r="A61" s="11"/>
      <c r="B61" s="11"/>
      <c r="C61" s="11"/>
      <c r="D61" s="11"/>
      <c r="E61" s="11"/>
      <c r="F61" s="11"/>
      <c r="G61" s="11"/>
      <c r="H61" s="11"/>
      <c r="I61" s="11"/>
    </row>
    <row r="62" customFormat="false" ht="15" hidden="false" customHeight="false" outlineLevel="0" collapsed="false">
      <c r="A62" s="11"/>
      <c r="B62" s="11"/>
      <c r="C62" s="11"/>
      <c r="D62" s="11"/>
      <c r="E62" s="11"/>
      <c r="F62" s="11"/>
      <c r="G62" s="11"/>
      <c r="H62" s="11"/>
      <c r="I62" s="11"/>
    </row>
    <row r="63" customFormat="false" ht="15" hidden="false" customHeight="false" outlineLevel="0" collapsed="false">
      <c r="A63" s="11"/>
      <c r="B63" s="11"/>
      <c r="C63" s="11"/>
      <c r="D63" s="11"/>
      <c r="E63" s="11"/>
      <c r="F63" s="11"/>
      <c r="G63" s="11"/>
      <c r="H63" s="11"/>
      <c r="I63" s="11"/>
    </row>
    <row r="64" customFormat="false" ht="15" hidden="false" customHeight="false" outlineLevel="0" collapsed="false">
      <c r="A64" s="11"/>
      <c r="B64" s="11"/>
      <c r="C64" s="11"/>
      <c r="D64" s="11"/>
      <c r="E64" s="11"/>
      <c r="F64" s="11"/>
      <c r="G64" s="11"/>
      <c r="H64" s="11"/>
      <c r="I64" s="11"/>
    </row>
    <row r="65" customFormat="false" ht="15" hidden="false" customHeight="false" outlineLevel="0" collapsed="false">
      <c r="A65" s="11"/>
      <c r="B65" s="11"/>
      <c r="C65" s="11"/>
      <c r="D65" s="11"/>
      <c r="E65" s="11"/>
      <c r="F65" s="11"/>
      <c r="G65" s="11"/>
      <c r="H65" s="11"/>
      <c r="I65" s="11"/>
    </row>
    <row r="66" customFormat="false" ht="15" hidden="false" customHeight="false" outlineLevel="0" collapsed="false">
      <c r="A66" s="11"/>
      <c r="B66" s="11"/>
      <c r="C66" s="11"/>
      <c r="D66" s="11"/>
      <c r="E66" s="11"/>
      <c r="F66" s="11"/>
      <c r="G66" s="11"/>
      <c r="H66" s="11"/>
      <c r="I66" s="11"/>
    </row>
    <row r="67" customFormat="false" ht="15" hidden="false" customHeight="false" outlineLevel="0" collapsed="false">
      <c r="A67" s="11"/>
      <c r="B67" s="11"/>
      <c r="C67" s="11"/>
      <c r="D67" s="11"/>
      <c r="E67" s="11"/>
      <c r="F67" s="11"/>
      <c r="G67" s="11"/>
      <c r="H67" s="11"/>
      <c r="I67" s="11"/>
    </row>
    <row r="68" customFormat="false" ht="15" hidden="false" customHeight="false" outlineLevel="0" collapsed="false">
      <c r="A68" s="11"/>
      <c r="B68" s="11"/>
      <c r="C68" s="11"/>
      <c r="D68" s="11"/>
      <c r="E68" s="11"/>
      <c r="F68" s="11"/>
      <c r="G68" s="11"/>
      <c r="H68" s="11"/>
      <c r="I68" s="11"/>
    </row>
    <row r="69" customFormat="false" ht="15" hidden="false" customHeight="false" outlineLevel="0" collapsed="false">
      <c r="A69" s="11"/>
      <c r="B69" s="11"/>
      <c r="C69" s="11"/>
      <c r="D69" s="11"/>
      <c r="E69" s="11"/>
      <c r="F69" s="11"/>
      <c r="G69" s="11"/>
      <c r="H69" s="11"/>
      <c r="I69" s="11"/>
    </row>
    <row r="70" customFormat="false" ht="15" hidden="false" customHeight="false" outlineLevel="0" collapsed="false">
      <c r="A70" s="11"/>
      <c r="B70" s="11"/>
      <c r="C70" s="11"/>
      <c r="D70" s="11"/>
      <c r="E70" s="11"/>
      <c r="F70" s="11"/>
      <c r="G70" s="11"/>
      <c r="H70" s="11"/>
      <c r="I70" s="11"/>
    </row>
    <row r="71" customFormat="false" ht="15" hidden="false" customHeight="false" outlineLevel="0" collapsed="false">
      <c r="A71" s="11"/>
      <c r="B71" s="11"/>
      <c r="C71" s="11"/>
      <c r="D71" s="11"/>
      <c r="E71" s="11"/>
      <c r="F71" s="11"/>
      <c r="G71" s="11"/>
      <c r="H71" s="11"/>
      <c r="I71" s="11"/>
    </row>
    <row r="72" customFormat="false" ht="15" hidden="false" customHeight="false" outlineLevel="0" collapsed="false">
      <c r="A72" s="11"/>
      <c r="B72" s="11"/>
      <c r="C72" s="11"/>
      <c r="D72" s="11"/>
      <c r="E72" s="11"/>
      <c r="F72" s="11"/>
      <c r="G72" s="11"/>
      <c r="H72" s="11"/>
      <c r="I72" s="11"/>
    </row>
    <row r="73" customFormat="false" ht="15" hidden="false" customHeight="false" outlineLevel="0" collapsed="false">
      <c r="A73" s="11"/>
      <c r="B73" s="11"/>
      <c r="C73" s="11"/>
      <c r="D73" s="11"/>
      <c r="E73" s="11"/>
      <c r="F73" s="11"/>
      <c r="G73" s="11"/>
      <c r="H73" s="11"/>
      <c r="I73" s="11"/>
    </row>
    <row r="74" customFormat="false" ht="15" hidden="false" customHeight="false" outlineLevel="0" collapsed="false">
      <c r="A74" s="11"/>
      <c r="B74" s="11"/>
      <c r="C74" s="11"/>
      <c r="D74" s="11"/>
      <c r="E74" s="11"/>
      <c r="F74" s="11"/>
      <c r="G74" s="11"/>
      <c r="H74" s="11"/>
      <c r="I74" s="11"/>
    </row>
    <row r="75" customFormat="false" ht="15" hidden="false" customHeight="false" outlineLevel="0" collapsed="false">
      <c r="A75" s="11"/>
      <c r="B75" s="11"/>
      <c r="C75" s="11"/>
      <c r="D75" s="11"/>
      <c r="E75" s="11"/>
      <c r="F75" s="11"/>
      <c r="G75" s="11"/>
      <c r="H75" s="11"/>
      <c r="I75" s="11"/>
    </row>
    <row r="76" customFormat="false" ht="15" hidden="false" customHeight="false" outlineLevel="0" collapsed="false">
      <c r="A76" s="11"/>
      <c r="B76" s="11"/>
      <c r="C76" s="11"/>
      <c r="D76" s="11"/>
      <c r="E76" s="11"/>
      <c r="F76" s="11"/>
      <c r="G76" s="11"/>
      <c r="H76" s="11"/>
      <c r="I76" s="11"/>
    </row>
    <row r="77" customFormat="false" ht="15" hidden="false" customHeight="false" outlineLevel="0" collapsed="false">
      <c r="A77" s="11"/>
      <c r="B77" s="11"/>
      <c r="C77" s="11"/>
      <c r="D77" s="11"/>
      <c r="E77" s="11"/>
      <c r="F77" s="11"/>
      <c r="G77" s="11"/>
      <c r="H77" s="11"/>
      <c r="I77" s="11"/>
    </row>
    <row r="78" customFormat="false" ht="15" hidden="false" customHeight="false" outlineLevel="0" collapsed="false">
      <c r="A78" s="11"/>
      <c r="B78" s="11"/>
      <c r="C78" s="11"/>
      <c r="D78" s="11"/>
      <c r="E78" s="11"/>
      <c r="F78" s="11"/>
      <c r="G78" s="11"/>
      <c r="H78" s="11"/>
      <c r="I78" s="11"/>
    </row>
    <row r="79" customFormat="false" ht="15" hidden="false" customHeight="false" outlineLevel="0" collapsed="false">
      <c r="A79" s="11"/>
      <c r="B79" s="11"/>
      <c r="C79" s="11"/>
      <c r="D79" s="11"/>
      <c r="E79" s="11"/>
      <c r="F79" s="11"/>
      <c r="G79" s="11"/>
      <c r="H79" s="11"/>
      <c r="I79" s="11"/>
    </row>
    <row r="80" customFormat="false" ht="15" hidden="false" customHeight="false" outlineLevel="0" collapsed="false">
      <c r="A80" s="11"/>
      <c r="B80" s="11"/>
      <c r="C80" s="11"/>
      <c r="D80" s="11"/>
      <c r="E80" s="11"/>
      <c r="F80" s="11"/>
      <c r="G80" s="11"/>
      <c r="H80" s="11"/>
      <c r="I80" s="11"/>
    </row>
    <row r="81" customFormat="false" ht="15" hidden="false" customHeight="false" outlineLevel="0" collapsed="false">
      <c r="A81" s="11"/>
      <c r="B81" s="11"/>
      <c r="C81" s="11"/>
      <c r="D81" s="11"/>
      <c r="E81" s="11"/>
      <c r="F81" s="11"/>
      <c r="G81" s="11"/>
      <c r="H81" s="11"/>
      <c r="I81" s="11"/>
    </row>
    <row r="82" customFormat="false" ht="15" hidden="false" customHeight="false" outlineLevel="0" collapsed="false">
      <c r="A82" s="11"/>
      <c r="B82" s="11"/>
      <c r="C82" s="11"/>
      <c r="D82" s="11"/>
      <c r="E82" s="11"/>
      <c r="F82" s="11"/>
      <c r="G82" s="11"/>
      <c r="H82" s="11"/>
      <c r="I82" s="11"/>
    </row>
    <row r="83" customFormat="false" ht="15" hidden="false" customHeight="false" outlineLevel="0" collapsed="false">
      <c r="A83" s="11"/>
      <c r="B83" s="11"/>
      <c r="C83" s="11"/>
      <c r="D83" s="11"/>
      <c r="E83" s="11"/>
      <c r="F83" s="11"/>
      <c r="G83" s="11"/>
      <c r="H83" s="11"/>
      <c r="I83" s="11"/>
    </row>
    <row r="84" customFormat="false" ht="15" hidden="false" customHeight="false" outlineLevel="0" collapsed="false">
      <c r="A84" s="11"/>
      <c r="B84" s="11"/>
      <c r="C84" s="11"/>
      <c r="D84" s="11"/>
      <c r="E84" s="11"/>
      <c r="F84" s="11"/>
      <c r="G84" s="11"/>
      <c r="H84" s="11"/>
      <c r="I84" s="11"/>
    </row>
    <row r="85" customFormat="false" ht="15" hidden="false" customHeight="false" outlineLevel="0" collapsed="false">
      <c r="A85" s="11"/>
      <c r="B85" s="11"/>
      <c r="C85" s="11"/>
      <c r="D85" s="11"/>
      <c r="E85" s="11"/>
      <c r="F85" s="11"/>
      <c r="G85" s="11"/>
      <c r="H85" s="11"/>
      <c r="I85" s="11"/>
    </row>
    <row r="86" customFormat="false" ht="15" hidden="false" customHeight="false" outlineLevel="0" collapsed="false">
      <c r="A86" s="11"/>
      <c r="B86" s="11"/>
      <c r="C86" s="11"/>
      <c r="D86" s="11"/>
      <c r="E86" s="11"/>
      <c r="F86" s="11"/>
      <c r="G86" s="11"/>
      <c r="H86" s="11"/>
      <c r="I86" s="11"/>
    </row>
    <row r="87" customFormat="false" ht="15" hidden="false" customHeight="false" outlineLevel="0" collapsed="false">
      <c r="A87" s="11"/>
      <c r="B87" s="11"/>
      <c r="C87" s="11"/>
      <c r="D87" s="11"/>
      <c r="E87" s="11"/>
      <c r="F87" s="11"/>
      <c r="G87" s="11"/>
      <c r="H87" s="11"/>
      <c r="I87" s="11"/>
    </row>
    <row r="88" customFormat="false" ht="15" hidden="false" customHeight="false" outlineLevel="0" collapsed="false">
      <c r="A88" s="11"/>
      <c r="B88" s="11"/>
      <c r="C88" s="11"/>
      <c r="D88" s="11"/>
      <c r="E88" s="11"/>
      <c r="F88" s="11"/>
      <c r="G88" s="11"/>
      <c r="H88" s="11"/>
      <c r="I88" s="11"/>
    </row>
    <row r="89" customFormat="false" ht="15" hidden="false" customHeight="false" outlineLevel="0" collapsed="false">
      <c r="A89" s="11"/>
      <c r="B89" s="11"/>
      <c r="C89" s="11"/>
      <c r="D89" s="11"/>
      <c r="E89" s="11"/>
      <c r="F89" s="11"/>
      <c r="G89" s="11"/>
      <c r="H89" s="11"/>
      <c r="I89" s="11"/>
    </row>
    <row r="90" customFormat="false" ht="15" hidden="false" customHeight="false" outlineLevel="0" collapsed="false">
      <c r="A90" s="11"/>
      <c r="B90" s="11"/>
      <c r="C90" s="11"/>
      <c r="D90" s="11"/>
      <c r="E90" s="11"/>
      <c r="F90" s="11"/>
      <c r="G90" s="11"/>
      <c r="H90" s="11"/>
      <c r="I90" s="11"/>
    </row>
    <row r="91" customFormat="false" ht="15" hidden="false" customHeight="false" outlineLevel="0" collapsed="false">
      <c r="A91" s="11"/>
      <c r="B91" s="11"/>
      <c r="C91" s="11"/>
      <c r="D91" s="11"/>
      <c r="E91" s="11"/>
      <c r="F91" s="11"/>
      <c r="G91" s="11"/>
      <c r="H91" s="11"/>
      <c r="I91" s="11"/>
    </row>
    <row r="92" customFormat="false" ht="15" hidden="false" customHeight="false" outlineLevel="0" collapsed="false">
      <c r="A92" s="11"/>
      <c r="B92" s="11"/>
      <c r="C92" s="11"/>
      <c r="D92" s="11"/>
      <c r="E92" s="11"/>
      <c r="F92" s="11"/>
      <c r="G92" s="11"/>
      <c r="H92" s="11"/>
      <c r="I92" s="11"/>
    </row>
    <row r="93" customFormat="false" ht="15" hidden="false" customHeight="false" outlineLevel="0" collapsed="false">
      <c r="A93" s="11"/>
      <c r="B93" s="11"/>
      <c r="C93" s="11"/>
      <c r="D93" s="11"/>
      <c r="E93" s="11"/>
      <c r="F93" s="11"/>
      <c r="G93" s="11"/>
      <c r="H93" s="11"/>
      <c r="I93" s="11"/>
    </row>
    <row r="94" customFormat="false" ht="15" hidden="false" customHeight="false" outlineLevel="0" collapsed="false">
      <c r="A94" s="11"/>
      <c r="B94" s="11"/>
      <c r="C94" s="11"/>
      <c r="D94" s="11"/>
      <c r="E94" s="11"/>
      <c r="F94" s="11"/>
      <c r="G94" s="11"/>
      <c r="H94" s="11"/>
      <c r="I94" s="11"/>
    </row>
    <row r="95" customFormat="false" ht="15" hidden="false" customHeight="false" outlineLevel="0" collapsed="false">
      <c r="A95" s="11"/>
      <c r="B95" s="11"/>
      <c r="C95" s="11"/>
      <c r="D95" s="11"/>
      <c r="E95" s="11"/>
      <c r="F95" s="11"/>
      <c r="G95" s="11"/>
      <c r="H95" s="11"/>
      <c r="I95" s="11"/>
    </row>
    <row r="96" customFormat="false" ht="15" hidden="false" customHeight="false" outlineLevel="0" collapsed="false">
      <c r="A96" s="11"/>
      <c r="B96" s="11"/>
      <c r="C96" s="11"/>
      <c r="D96" s="11"/>
      <c r="E96" s="11"/>
      <c r="F96" s="11"/>
      <c r="G96" s="11"/>
      <c r="H96" s="11"/>
      <c r="I96" s="11"/>
    </row>
    <row r="97" customFormat="false" ht="15" hidden="false" customHeight="false" outlineLevel="0" collapsed="false">
      <c r="A97" s="11"/>
      <c r="B97" s="11"/>
      <c r="C97" s="11"/>
      <c r="D97" s="11"/>
      <c r="E97" s="11"/>
      <c r="F97" s="11"/>
      <c r="G97" s="11"/>
      <c r="H97" s="11"/>
      <c r="I97" s="11"/>
    </row>
    <row r="98" customFormat="false" ht="15" hidden="false" customHeight="false" outlineLevel="0" collapsed="false">
      <c r="A98" s="11"/>
      <c r="B98" s="11"/>
      <c r="C98" s="11"/>
      <c r="D98" s="11"/>
      <c r="E98" s="11"/>
      <c r="F98" s="11"/>
      <c r="G98" s="11"/>
      <c r="H98" s="11"/>
      <c r="I98" s="11"/>
    </row>
    <row r="99" customFormat="false" ht="15" hidden="false" customHeight="false" outlineLevel="0" collapsed="false">
      <c r="A99" s="11"/>
      <c r="B99" s="11"/>
      <c r="C99" s="11"/>
      <c r="D99" s="11"/>
      <c r="E99" s="11"/>
      <c r="F99" s="11"/>
      <c r="G99" s="11"/>
      <c r="H99" s="11"/>
      <c r="I99" s="11"/>
    </row>
    <row r="100" customFormat="false" ht="15" hidden="false" customHeight="false" outlineLevel="0" collapsed="false">
      <c r="A100" s="11"/>
      <c r="B100" s="11"/>
      <c r="C100" s="11"/>
      <c r="D100" s="11"/>
      <c r="E100" s="11"/>
      <c r="F100" s="11"/>
      <c r="G100" s="11"/>
      <c r="H100" s="11"/>
      <c r="I100" s="11"/>
    </row>
  </sheetData>
  <conditionalFormatting sqref="H2:H100">
    <cfRule type="expression" priority="2" aboveAverage="0" equalAverage="0" bottom="0" percent="0" rank="0" text="" dxfId="47">
      <formula>H2="PASS"</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P60"/>
    </sheetView>
  </sheetViews>
  <sheetFormatPr defaultColWidth="8.6796875" defaultRowHeight="15" customHeight="false" zeroHeight="false" outlineLevelRow="0" outlineLevelCol="0"/>
  <cols>
    <col collapsed="false" customWidth="true" hidden="false" outlineLevel="0" max="1" min="1" style="1" width="10"/>
    <col collapsed="false" customWidth="true" hidden="false" outlineLevel="0" max="2" min="2" style="1" width="34"/>
    <col collapsed="false" customWidth="true" hidden="false" outlineLevel="0" max="3" min="3" style="1" width="30"/>
    <col collapsed="false" customWidth="true" hidden="false" outlineLevel="0" max="4" min="4" style="1" width="32"/>
    <col collapsed="false" customWidth="true" hidden="false" outlineLevel="0" max="5" min="5" style="1" width="42"/>
    <col collapsed="false" customWidth="true" hidden="false" outlineLevel="0" max="6" min="6" style="1" width="44"/>
    <col collapsed="false" customWidth="true" hidden="false" outlineLevel="0" max="7" min="7" style="1" width="42"/>
    <col collapsed="false" customWidth="true" hidden="false" outlineLevel="0" max="8" min="8" style="1" width="12"/>
  </cols>
  <sheetData>
    <row r="1" customFormat="false" ht="15" hidden="false" customHeight="false" outlineLevel="0" collapsed="false">
      <c r="A1" s="20" t="s">
        <v>1978</v>
      </c>
      <c r="B1" s="20" t="s">
        <v>1979</v>
      </c>
      <c r="C1" s="20" t="s">
        <v>1980</v>
      </c>
      <c r="D1" s="20" t="s">
        <v>1981</v>
      </c>
      <c r="E1" s="20" t="s">
        <v>1982</v>
      </c>
      <c r="F1" s="20" t="s">
        <v>1983</v>
      </c>
      <c r="G1" s="20" t="s">
        <v>1984</v>
      </c>
      <c r="H1" s="20" t="s">
        <v>1811</v>
      </c>
    </row>
    <row r="2" customFormat="false" ht="15" hidden="false" customHeight="false" outlineLevel="0" collapsed="false">
      <c r="A2" s="11" t="n">
        <v>1</v>
      </c>
      <c r="B2" s="11" t="s">
        <v>1985</v>
      </c>
      <c r="C2" s="11" t="s">
        <v>1986</v>
      </c>
      <c r="D2" s="11" t="s">
        <v>1987</v>
      </c>
      <c r="E2" s="11" t="s">
        <v>1988</v>
      </c>
      <c r="F2" s="11" t="s">
        <v>1989</v>
      </c>
      <c r="G2" s="11" t="s">
        <v>1990</v>
      </c>
      <c r="H2" s="11" t="s">
        <v>1937</v>
      </c>
    </row>
    <row r="3" customFormat="false" ht="15" hidden="false" customHeight="false" outlineLevel="0" collapsed="false">
      <c r="A3" s="11" t="n">
        <v>2</v>
      </c>
      <c r="B3" s="11" t="s">
        <v>1991</v>
      </c>
      <c r="C3" s="11" t="s">
        <v>1992</v>
      </c>
      <c r="D3" s="11" t="s">
        <v>1993</v>
      </c>
      <c r="E3" s="11" t="s">
        <v>1994</v>
      </c>
      <c r="F3" s="11" t="s">
        <v>1995</v>
      </c>
      <c r="G3" s="11" t="s">
        <v>1996</v>
      </c>
      <c r="H3" s="11" t="s">
        <v>1937</v>
      </c>
    </row>
    <row r="4" customFormat="false" ht="23.85" hidden="false" customHeight="false" outlineLevel="0" collapsed="false">
      <c r="A4" s="11" t="n">
        <v>3</v>
      </c>
      <c r="B4" s="11" t="s">
        <v>1997</v>
      </c>
      <c r="C4" s="11" t="s">
        <v>1998</v>
      </c>
      <c r="D4" s="11" t="s">
        <v>1999</v>
      </c>
      <c r="E4" s="11" t="s">
        <v>2000</v>
      </c>
      <c r="F4" s="11" t="s">
        <v>2001</v>
      </c>
      <c r="G4" s="11" t="s">
        <v>2002</v>
      </c>
      <c r="H4" s="11" t="s">
        <v>1937</v>
      </c>
    </row>
    <row r="5" customFormat="false" ht="23.85" hidden="false" customHeight="false" outlineLevel="0" collapsed="false">
      <c r="A5" s="11" t="n">
        <v>4</v>
      </c>
      <c r="B5" s="11" t="s">
        <v>2003</v>
      </c>
      <c r="C5" s="11" t="s">
        <v>2004</v>
      </c>
      <c r="D5" s="11" t="s">
        <v>2005</v>
      </c>
      <c r="E5" s="11" t="s">
        <v>2006</v>
      </c>
      <c r="F5" s="11" t="s">
        <v>2007</v>
      </c>
      <c r="G5" s="11" t="s">
        <v>2008</v>
      </c>
      <c r="H5" s="11" t="s">
        <v>1937</v>
      </c>
    </row>
    <row r="6" customFormat="false" ht="23.85" hidden="false" customHeight="false" outlineLevel="0" collapsed="false">
      <c r="A6" s="11" t="n">
        <v>5</v>
      </c>
      <c r="B6" s="11" t="s">
        <v>2009</v>
      </c>
      <c r="C6" s="11" t="s">
        <v>2010</v>
      </c>
      <c r="D6" s="11" t="s">
        <v>2011</v>
      </c>
      <c r="E6" s="11" t="s">
        <v>2012</v>
      </c>
      <c r="F6" s="11" t="s">
        <v>2013</v>
      </c>
      <c r="G6" s="11" t="s">
        <v>2014</v>
      </c>
      <c r="H6" s="11" t="s">
        <v>1937</v>
      </c>
    </row>
    <row r="7" customFormat="false" ht="23.85" hidden="false" customHeight="false" outlineLevel="0" collapsed="false">
      <c r="A7" s="11" t="n">
        <v>6</v>
      </c>
      <c r="B7" s="11" t="s">
        <v>2015</v>
      </c>
      <c r="C7" s="11" t="s">
        <v>2016</v>
      </c>
      <c r="D7" s="11" t="s">
        <v>2017</v>
      </c>
      <c r="E7" s="11" t="s">
        <v>2018</v>
      </c>
      <c r="F7" s="11" t="s">
        <v>2019</v>
      </c>
      <c r="G7" s="11" t="s">
        <v>2020</v>
      </c>
      <c r="H7" s="11" t="s">
        <v>1937</v>
      </c>
    </row>
    <row r="8" customFormat="false" ht="15" hidden="false" customHeight="false" outlineLevel="0" collapsed="false">
      <c r="A8" s="11" t="n">
        <v>7</v>
      </c>
      <c r="B8" s="11" t="s">
        <v>1825</v>
      </c>
      <c r="C8" s="11" t="s">
        <v>2021</v>
      </c>
      <c r="D8" s="11" t="s">
        <v>2022</v>
      </c>
      <c r="E8" s="11" t="s">
        <v>2023</v>
      </c>
      <c r="F8" s="11" t="s">
        <v>2024</v>
      </c>
      <c r="G8" s="11" t="s">
        <v>2025</v>
      </c>
      <c r="H8" s="11" t="s">
        <v>1937</v>
      </c>
    </row>
    <row r="9" customFormat="false" ht="23.85" hidden="false" customHeight="false" outlineLevel="0" collapsed="false">
      <c r="A9" s="11" t="n">
        <v>8</v>
      </c>
      <c r="B9" s="11" t="s">
        <v>2026</v>
      </c>
      <c r="C9" s="11" t="s">
        <v>2027</v>
      </c>
      <c r="D9" s="11" t="s">
        <v>2028</v>
      </c>
      <c r="E9" s="11" t="s">
        <v>2029</v>
      </c>
      <c r="F9" s="11" t="s">
        <v>2030</v>
      </c>
      <c r="G9" s="11" t="s">
        <v>2031</v>
      </c>
      <c r="H9" s="11" t="s">
        <v>1937</v>
      </c>
    </row>
    <row r="10" customFormat="false" ht="15" hidden="false" customHeight="false" outlineLevel="0" collapsed="false">
      <c r="A10" s="11"/>
      <c r="B10" s="11"/>
      <c r="C10" s="11"/>
      <c r="D10" s="11"/>
      <c r="E10" s="11"/>
      <c r="F10" s="11"/>
      <c r="G10" s="11"/>
      <c r="H10" s="11"/>
    </row>
    <row r="11" customFormat="false" ht="15" hidden="false" customHeight="false" outlineLevel="0" collapsed="false">
      <c r="A11" s="11"/>
      <c r="B11" s="11"/>
      <c r="C11" s="11"/>
      <c r="D11" s="11"/>
      <c r="E11" s="11"/>
      <c r="F11" s="11"/>
      <c r="G11" s="11"/>
      <c r="H11" s="11"/>
    </row>
    <row r="12" customFormat="false" ht="15" hidden="false" customHeight="false" outlineLevel="0" collapsed="false">
      <c r="A12" s="11"/>
      <c r="B12" s="11"/>
      <c r="C12" s="11"/>
      <c r="D12" s="11"/>
      <c r="E12" s="11"/>
      <c r="F12" s="11"/>
      <c r="G12" s="11"/>
      <c r="H12" s="11"/>
    </row>
  </sheetData>
  <conditionalFormatting sqref="H2:H9">
    <cfRule type="expression" priority="2" aboveAverage="0" equalAverage="0" bottom="0" percent="0" rank="0" text="" dxfId="48">
      <formula>H2="PASS"</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224</TotalTime>
  <Application>LibreOffice/26.2.5.2$Linux_X86_64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2026-10-06T13:47:52Z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